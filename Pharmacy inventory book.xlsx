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cuments\Chemist Materials\"/>
    </mc:Choice>
  </mc:AlternateContent>
  <xr:revisionPtr revIDLastSave="0" documentId="13_ncr:1_{DD18681C-1344-4667-A88A-43B57950D388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Dashboard" sheetId="1" r:id="rId1"/>
    <sheet name="Master Inventory" sheetId="2" r:id="rId2"/>
    <sheet name="Sales" sheetId="4" r:id="rId3"/>
    <sheet name="Transactions" sheetId="3" r:id="rId4"/>
    <sheet name="Purchase Orders" sheetId="6" r:id="rId5"/>
    <sheet name="Suppliers" sheetId="5" r:id="rId6"/>
    <sheet name="DDA Register" sheetId="7" r:id="rId7"/>
    <sheet name="Expiry Register" sheetId="8" r:id="rId8"/>
    <sheet name="Stock Take" sheetId="9" r:id="rId9"/>
  </sheets>
  <definedNames>
    <definedName name="_xlnm._FilterDatabase" localSheetId="1" hidden="1">'Master Inventory'!$B$4:$M$443</definedName>
    <definedName name="_xlnm._FilterDatabase" localSheetId="2" hidden="1">Sales!$B$2:$K$200</definedName>
  </definedNames>
  <calcPr calcId="191029" iterate="1" iterateCount="25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59" i="4" l="1"/>
  <c r="K659" i="4"/>
  <c r="H659" i="4"/>
  <c r="J658" i="4"/>
  <c r="K658" i="4"/>
  <c r="H658" i="4"/>
  <c r="J657" i="4"/>
  <c r="H657" i="4"/>
  <c r="K657" i="4" s="1"/>
  <c r="J656" i="4"/>
  <c r="K656" i="4"/>
  <c r="H656" i="4"/>
  <c r="J655" i="4"/>
  <c r="K655" i="4"/>
  <c r="H655" i="4"/>
  <c r="J654" i="4"/>
  <c r="K654" i="4"/>
  <c r="H654" i="4"/>
  <c r="J653" i="4"/>
  <c r="H653" i="4"/>
  <c r="K653" i="4" s="1"/>
  <c r="J652" i="4"/>
  <c r="K652" i="4"/>
  <c r="H652" i="4"/>
  <c r="J651" i="4"/>
  <c r="K651" i="4"/>
  <c r="H651" i="4"/>
  <c r="J650" i="4"/>
  <c r="K650" i="4"/>
  <c r="H650" i="4"/>
  <c r="J649" i="4"/>
  <c r="K649" i="4"/>
  <c r="H649" i="4"/>
  <c r="H640" i="4"/>
  <c r="D12" i="6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1" i="4"/>
  <c r="H642" i="4"/>
  <c r="H643" i="4"/>
  <c r="H644" i="4"/>
  <c r="H645" i="4"/>
  <c r="H646" i="4"/>
  <c r="H647" i="4"/>
  <c r="H648" i="4"/>
  <c r="J548" i="4"/>
  <c r="J549" i="4"/>
  <c r="K549" i="4" s="1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K571" i="4" s="1"/>
  <c r="J572" i="4"/>
  <c r="K572" i="4" s="1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K550" i="4"/>
  <c r="K548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70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M442" i="2"/>
  <c r="M441" i="2"/>
  <c r="M440" i="2"/>
  <c r="M439" i="2"/>
  <c r="M431" i="2"/>
  <c r="M422" i="2"/>
  <c r="M420" i="2"/>
  <c r="M417" i="2"/>
  <c r="M415" i="2"/>
  <c r="M414" i="2"/>
  <c r="M413" i="2"/>
  <c r="M405" i="2"/>
  <c r="M403" i="2"/>
  <c r="M401" i="2"/>
  <c r="M400" i="2"/>
  <c r="M396" i="2"/>
  <c r="M390" i="2"/>
  <c r="M385" i="2"/>
  <c r="M382" i="2"/>
  <c r="M381" i="2"/>
  <c r="M379" i="2"/>
  <c r="M376" i="2"/>
  <c r="M375" i="2"/>
  <c r="M374" i="2"/>
  <c r="M373" i="2"/>
  <c r="M372" i="2"/>
  <c r="M371" i="2"/>
  <c r="M325" i="2"/>
  <c r="M323" i="2"/>
  <c r="M321" i="2"/>
  <c r="M319" i="2"/>
  <c r="M315" i="2"/>
  <c r="M287" i="2"/>
  <c r="M280" i="2"/>
  <c r="M277" i="2"/>
  <c r="M274" i="2"/>
  <c r="M273" i="2"/>
  <c r="M272" i="2"/>
  <c r="M271" i="2"/>
  <c r="M269" i="2"/>
  <c r="M258" i="2"/>
  <c r="M136" i="2"/>
  <c r="M127" i="2"/>
  <c r="M118" i="2"/>
  <c r="M113" i="2"/>
  <c r="M112" i="2"/>
  <c r="M103" i="2"/>
  <c r="M102" i="2"/>
  <c r="M101" i="2"/>
  <c r="M95" i="2"/>
  <c r="M93" i="2"/>
  <c r="M86" i="2"/>
  <c r="M85" i="2"/>
  <c r="M75" i="2"/>
  <c r="M74" i="2"/>
  <c r="M71" i="2"/>
  <c r="M63" i="2"/>
  <c r="M53" i="2"/>
  <c r="M42" i="2"/>
  <c r="M10" i="2"/>
  <c r="M12" i="2"/>
  <c r="M377" i="2"/>
  <c r="M378" i="2"/>
  <c r="M380" i="2"/>
  <c r="M383" i="2"/>
  <c r="M384" i="2"/>
  <c r="M386" i="2"/>
  <c r="M387" i="2"/>
  <c r="M388" i="2"/>
  <c r="M389" i="2"/>
  <c r="M391" i="2"/>
  <c r="M392" i="2"/>
  <c r="M393" i="2"/>
  <c r="M394" i="2"/>
  <c r="M395" i="2"/>
  <c r="M397" i="2"/>
  <c r="M398" i="2"/>
  <c r="M399" i="2"/>
  <c r="M402" i="2"/>
  <c r="M404" i="2"/>
  <c r="M406" i="2"/>
  <c r="M407" i="2"/>
  <c r="M408" i="2"/>
  <c r="M409" i="2"/>
  <c r="M410" i="2"/>
  <c r="M411" i="2"/>
  <c r="M412" i="2"/>
  <c r="M416" i="2"/>
  <c r="M418" i="2"/>
  <c r="M419" i="2"/>
  <c r="M421" i="2"/>
  <c r="M423" i="2"/>
  <c r="M424" i="2"/>
  <c r="M425" i="2"/>
  <c r="M426" i="2"/>
  <c r="M427" i="2"/>
  <c r="M428" i="2"/>
  <c r="M429" i="2"/>
  <c r="M430" i="2"/>
  <c r="M432" i="2"/>
  <c r="M433" i="2"/>
  <c r="M434" i="2"/>
  <c r="M435" i="2"/>
  <c r="M436" i="2"/>
  <c r="M437" i="2"/>
  <c r="M438" i="2"/>
  <c r="M353" i="2"/>
  <c r="M349" i="2"/>
  <c r="M314" i="2"/>
  <c r="M316" i="2"/>
  <c r="M251" i="2"/>
  <c r="M245" i="2"/>
  <c r="M214" i="2"/>
  <c r="M197" i="2"/>
  <c r="M196" i="2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H497" i="4"/>
  <c r="H498" i="4"/>
  <c r="H499" i="4"/>
  <c r="K499" i="4" s="1"/>
  <c r="H500" i="4"/>
  <c r="K500" i="4" s="1"/>
  <c r="H501" i="4"/>
  <c r="K501" i="4" s="1"/>
  <c r="H502" i="4"/>
  <c r="K502" i="4" s="1"/>
  <c r="H503" i="4"/>
  <c r="K503" i="4" s="1"/>
  <c r="H504" i="4"/>
  <c r="K504" i="4" s="1"/>
  <c r="H505" i="4"/>
  <c r="K505" i="4" s="1"/>
  <c r="H506" i="4"/>
  <c r="K506" i="4" s="1"/>
  <c r="H507" i="4"/>
  <c r="K507" i="4" s="1"/>
  <c r="H508" i="4"/>
  <c r="K508" i="4" s="1"/>
  <c r="H509" i="4"/>
  <c r="K509" i="4" s="1"/>
  <c r="H510" i="4"/>
  <c r="K510" i="4" s="1"/>
  <c r="H511" i="4"/>
  <c r="K511" i="4" s="1"/>
  <c r="H512" i="4"/>
  <c r="K512" i="4" s="1"/>
  <c r="H513" i="4"/>
  <c r="K513" i="4" s="1"/>
  <c r="H514" i="4"/>
  <c r="K514" i="4" s="1"/>
  <c r="H515" i="4"/>
  <c r="K515" i="4" s="1"/>
  <c r="H516" i="4"/>
  <c r="K516" i="4" s="1"/>
  <c r="H517" i="4"/>
  <c r="K517" i="4" s="1"/>
  <c r="H518" i="4"/>
  <c r="K518" i="4" s="1"/>
  <c r="H519" i="4"/>
  <c r="K519" i="4" s="1"/>
  <c r="H520" i="4"/>
  <c r="K520" i="4" s="1"/>
  <c r="H521" i="4"/>
  <c r="K521" i="4" s="1"/>
  <c r="H522" i="4"/>
  <c r="K522" i="4" s="1"/>
  <c r="H523" i="4"/>
  <c r="K523" i="4" s="1"/>
  <c r="H524" i="4"/>
  <c r="K524" i="4" s="1"/>
  <c r="H525" i="4"/>
  <c r="K525" i="4" s="1"/>
  <c r="H526" i="4"/>
  <c r="K526" i="4" s="1"/>
  <c r="H527" i="4"/>
  <c r="K527" i="4" s="1"/>
  <c r="H528" i="4"/>
  <c r="K528" i="4" s="1"/>
  <c r="H529" i="4"/>
  <c r="K529" i="4" s="1"/>
  <c r="H530" i="4"/>
  <c r="K530" i="4" s="1"/>
  <c r="H531" i="4"/>
  <c r="K531" i="4" s="1"/>
  <c r="H532" i="4"/>
  <c r="K532" i="4" s="1"/>
  <c r="H533" i="4"/>
  <c r="K533" i="4" s="1"/>
  <c r="H534" i="4"/>
  <c r="K534" i="4" s="1"/>
  <c r="H535" i="4"/>
  <c r="K535" i="4" s="1"/>
  <c r="H536" i="4"/>
  <c r="K536" i="4" s="1"/>
  <c r="H537" i="4"/>
  <c r="K537" i="4" s="1"/>
  <c r="H538" i="4"/>
  <c r="K538" i="4" s="1"/>
  <c r="H539" i="4"/>
  <c r="K539" i="4" s="1"/>
  <c r="H540" i="4"/>
  <c r="K540" i="4" s="1"/>
  <c r="H541" i="4"/>
  <c r="K541" i="4" s="1"/>
  <c r="H542" i="4"/>
  <c r="K542" i="4" s="1"/>
  <c r="H543" i="4"/>
  <c r="K543" i="4" s="1"/>
  <c r="H544" i="4"/>
  <c r="K544" i="4" s="1"/>
  <c r="H545" i="4"/>
  <c r="K545" i="4" s="1"/>
  <c r="H546" i="4"/>
  <c r="K546" i="4" s="1"/>
  <c r="H547" i="4"/>
  <c r="K547" i="4" s="1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K497" i="4" s="1"/>
  <c r="J498" i="4"/>
  <c r="K498" i="4" s="1"/>
  <c r="H451" i="4"/>
  <c r="K451" i="4" s="1"/>
  <c r="H452" i="4"/>
  <c r="K452" i="4" s="1"/>
  <c r="H453" i="4"/>
  <c r="K453" i="4" s="1"/>
  <c r="H454" i="4"/>
  <c r="K454" i="4" s="1"/>
  <c r="H455" i="4"/>
  <c r="K455" i="4" s="1"/>
  <c r="H456" i="4"/>
  <c r="K456" i="4" s="1"/>
  <c r="H457" i="4"/>
  <c r="K457" i="4" s="1"/>
  <c r="H458" i="4"/>
  <c r="K458" i="4" s="1"/>
  <c r="H459" i="4"/>
  <c r="K459" i="4" s="1"/>
  <c r="H460" i="4"/>
  <c r="K460" i="4" s="1"/>
  <c r="H461" i="4"/>
  <c r="K461" i="4" s="1"/>
  <c r="H462" i="4"/>
  <c r="K462" i="4" s="1"/>
  <c r="H463" i="4"/>
  <c r="K463" i="4" s="1"/>
  <c r="H464" i="4"/>
  <c r="K464" i="4" s="1"/>
  <c r="H465" i="4"/>
  <c r="K465" i="4" s="1"/>
  <c r="H466" i="4"/>
  <c r="K466" i="4" s="1"/>
  <c r="H467" i="4"/>
  <c r="K467" i="4" s="1"/>
  <c r="H468" i="4"/>
  <c r="K468" i="4" s="1"/>
  <c r="H469" i="4"/>
  <c r="K469" i="4" s="1"/>
  <c r="H470" i="4"/>
  <c r="K470" i="4" s="1"/>
  <c r="H471" i="4"/>
  <c r="K471" i="4" s="1"/>
  <c r="H472" i="4"/>
  <c r="K472" i="4" s="1"/>
  <c r="H473" i="4"/>
  <c r="K473" i="4" s="1"/>
  <c r="H474" i="4"/>
  <c r="H475" i="4"/>
  <c r="K475" i="4" s="1"/>
  <c r="H476" i="4"/>
  <c r="K476" i="4" s="1"/>
  <c r="H477" i="4"/>
  <c r="K477" i="4" s="1"/>
  <c r="H478" i="4"/>
  <c r="K478" i="4" s="1"/>
  <c r="H479" i="4"/>
  <c r="K479" i="4" s="1"/>
  <c r="H480" i="4"/>
  <c r="K480" i="4" s="1"/>
  <c r="H481" i="4"/>
  <c r="K481" i="4" s="1"/>
  <c r="H482" i="4"/>
  <c r="K482" i="4" s="1"/>
  <c r="H483" i="4"/>
  <c r="K483" i="4" s="1"/>
  <c r="H484" i="4"/>
  <c r="K484" i="4" s="1"/>
  <c r="H485" i="4"/>
  <c r="K485" i="4" s="1"/>
  <c r="H486" i="4"/>
  <c r="K486" i="4" s="1"/>
  <c r="H487" i="4"/>
  <c r="K487" i="4" s="1"/>
  <c r="H488" i="4"/>
  <c r="K488" i="4" s="1"/>
  <c r="H489" i="4"/>
  <c r="K489" i="4" s="1"/>
  <c r="H490" i="4"/>
  <c r="K490" i="4" s="1"/>
  <c r="H491" i="4"/>
  <c r="K491" i="4" s="1"/>
  <c r="H492" i="4"/>
  <c r="K492" i="4" s="1"/>
  <c r="H493" i="4"/>
  <c r="K493" i="4" s="1"/>
  <c r="H494" i="4"/>
  <c r="K494" i="4" s="1"/>
  <c r="H495" i="4"/>
  <c r="K495" i="4" s="1"/>
  <c r="H496" i="4"/>
  <c r="K496" i="4" s="1"/>
  <c r="H404" i="4"/>
  <c r="K404" i="4" s="1"/>
  <c r="H405" i="4"/>
  <c r="K405" i="4" s="1"/>
  <c r="H406" i="4"/>
  <c r="K406" i="4" s="1"/>
  <c r="H391" i="4"/>
  <c r="K391" i="4"/>
  <c r="J391" i="4"/>
  <c r="H400" i="4"/>
  <c r="K400" i="4" s="1"/>
  <c r="H401" i="4"/>
  <c r="K401" i="4" s="1"/>
  <c r="H402" i="4"/>
  <c r="K402" i="4" s="1"/>
  <c r="H403" i="4"/>
  <c r="K403" i="4" s="1"/>
  <c r="H407" i="4"/>
  <c r="K407" i="4" s="1"/>
  <c r="H408" i="4"/>
  <c r="K408" i="4" s="1"/>
  <c r="H409" i="4"/>
  <c r="K409" i="4" s="1"/>
  <c r="H410" i="4"/>
  <c r="K410" i="4" s="1"/>
  <c r="H411" i="4"/>
  <c r="K411" i="4" s="1"/>
  <c r="H412" i="4"/>
  <c r="K412" i="4" s="1"/>
  <c r="H413" i="4"/>
  <c r="K413" i="4" s="1"/>
  <c r="H414" i="4"/>
  <c r="K414" i="4" s="1"/>
  <c r="H415" i="4"/>
  <c r="K415" i="4" s="1"/>
  <c r="H416" i="4"/>
  <c r="K416" i="4" s="1"/>
  <c r="H417" i="4"/>
  <c r="K417" i="4" s="1"/>
  <c r="H418" i="4"/>
  <c r="K418" i="4" s="1"/>
  <c r="H419" i="4"/>
  <c r="K419" i="4" s="1"/>
  <c r="H420" i="4"/>
  <c r="K420" i="4" s="1"/>
  <c r="H421" i="4"/>
  <c r="K421" i="4" s="1"/>
  <c r="H422" i="4"/>
  <c r="K422" i="4" s="1"/>
  <c r="H423" i="4"/>
  <c r="K423" i="4" s="1"/>
  <c r="H424" i="4"/>
  <c r="K424" i="4" s="1"/>
  <c r="H425" i="4"/>
  <c r="K425" i="4" s="1"/>
  <c r="H426" i="4"/>
  <c r="K426" i="4" s="1"/>
  <c r="H427" i="4"/>
  <c r="K427" i="4" s="1"/>
  <c r="H428" i="4"/>
  <c r="K428" i="4" s="1"/>
  <c r="H429" i="4"/>
  <c r="K429" i="4" s="1"/>
  <c r="H430" i="4"/>
  <c r="K430" i="4" s="1"/>
  <c r="H431" i="4"/>
  <c r="K431" i="4" s="1"/>
  <c r="H432" i="4"/>
  <c r="K432" i="4" s="1"/>
  <c r="H433" i="4"/>
  <c r="K433" i="4" s="1"/>
  <c r="H434" i="4"/>
  <c r="K434" i="4" s="1"/>
  <c r="H435" i="4"/>
  <c r="K435" i="4" s="1"/>
  <c r="H436" i="4"/>
  <c r="K436" i="4" s="1"/>
  <c r="H437" i="4"/>
  <c r="K437" i="4" s="1"/>
  <c r="H438" i="4"/>
  <c r="K438" i="4" s="1"/>
  <c r="H439" i="4"/>
  <c r="K439" i="4" s="1"/>
  <c r="H440" i="4"/>
  <c r="K440" i="4" s="1"/>
  <c r="H441" i="4"/>
  <c r="K441" i="4" s="1"/>
  <c r="H442" i="4"/>
  <c r="K442" i="4" s="1"/>
  <c r="H443" i="4"/>
  <c r="K443" i="4" s="1"/>
  <c r="H444" i="4"/>
  <c r="K444" i="4" s="1"/>
  <c r="H445" i="4"/>
  <c r="K445" i="4" s="1"/>
  <c r="H446" i="4"/>
  <c r="K446" i="4" s="1"/>
  <c r="H447" i="4"/>
  <c r="K447" i="4" s="1"/>
  <c r="H448" i="4"/>
  <c r="K448" i="4" s="1"/>
  <c r="H449" i="4"/>
  <c r="K449" i="4" s="1"/>
  <c r="H450" i="4"/>
  <c r="K450" i="4" s="1"/>
  <c r="H353" i="4"/>
  <c r="K390" i="4"/>
  <c r="K392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3" i="4"/>
  <c r="J394" i="4"/>
  <c r="J395" i="4"/>
  <c r="J396" i="4"/>
  <c r="J397" i="4"/>
  <c r="J398" i="4"/>
  <c r="J399" i="4"/>
  <c r="H295" i="4"/>
  <c r="K295" i="4" s="1"/>
  <c r="H296" i="4"/>
  <c r="K296" i="4" s="1"/>
  <c r="H297" i="4"/>
  <c r="K297" i="4" s="1"/>
  <c r="H298" i="4"/>
  <c r="K298" i="4" s="1"/>
  <c r="H299" i="4"/>
  <c r="K299" i="4" s="1"/>
  <c r="H300" i="4"/>
  <c r="K300" i="4" s="1"/>
  <c r="H301" i="4"/>
  <c r="K301" i="4" s="1"/>
  <c r="H302" i="4"/>
  <c r="K302" i="4" s="1"/>
  <c r="H303" i="4"/>
  <c r="K303" i="4" s="1"/>
  <c r="H304" i="4"/>
  <c r="K304" i="4" s="1"/>
  <c r="H305" i="4"/>
  <c r="K305" i="4" s="1"/>
  <c r="H306" i="4"/>
  <c r="K306" i="4" s="1"/>
  <c r="H307" i="4"/>
  <c r="K307" i="4" s="1"/>
  <c r="H308" i="4"/>
  <c r="K308" i="4" s="1"/>
  <c r="H309" i="4"/>
  <c r="K309" i="4" s="1"/>
  <c r="H310" i="4"/>
  <c r="K310" i="4" s="1"/>
  <c r="H311" i="4"/>
  <c r="K311" i="4" s="1"/>
  <c r="H312" i="4"/>
  <c r="K312" i="4" s="1"/>
  <c r="H313" i="4"/>
  <c r="K313" i="4" s="1"/>
  <c r="H314" i="4"/>
  <c r="K314" i="4" s="1"/>
  <c r="H315" i="4"/>
  <c r="K315" i="4" s="1"/>
  <c r="H316" i="4"/>
  <c r="K316" i="4" s="1"/>
  <c r="H317" i="4"/>
  <c r="K317" i="4" s="1"/>
  <c r="H318" i="4"/>
  <c r="K318" i="4" s="1"/>
  <c r="H319" i="4"/>
  <c r="K319" i="4" s="1"/>
  <c r="H320" i="4"/>
  <c r="K320" i="4" s="1"/>
  <c r="H321" i="4"/>
  <c r="K321" i="4" s="1"/>
  <c r="H322" i="4"/>
  <c r="K322" i="4" s="1"/>
  <c r="H323" i="4"/>
  <c r="K323" i="4" s="1"/>
  <c r="H324" i="4"/>
  <c r="K324" i="4" s="1"/>
  <c r="H325" i="4"/>
  <c r="K325" i="4" s="1"/>
  <c r="H326" i="4"/>
  <c r="K326" i="4" s="1"/>
  <c r="H327" i="4"/>
  <c r="K327" i="4" s="1"/>
  <c r="H328" i="4"/>
  <c r="K328" i="4" s="1"/>
  <c r="H329" i="4"/>
  <c r="K329" i="4" s="1"/>
  <c r="H330" i="4"/>
  <c r="K330" i="4" s="1"/>
  <c r="H331" i="4"/>
  <c r="K331" i="4" s="1"/>
  <c r="H332" i="4"/>
  <c r="K332" i="4" s="1"/>
  <c r="H333" i="4"/>
  <c r="K333" i="4" s="1"/>
  <c r="H334" i="4"/>
  <c r="K334" i="4" s="1"/>
  <c r="H335" i="4"/>
  <c r="K335" i="4" s="1"/>
  <c r="H336" i="4"/>
  <c r="K336" i="4" s="1"/>
  <c r="H337" i="4"/>
  <c r="K337" i="4" s="1"/>
  <c r="H338" i="4"/>
  <c r="K338" i="4" s="1"/>
  <c r="H339" i="4"/>
  <c r="K339" i="4" s="1"/>
  <c r="H340" i="4"/>
  <c r="K340" i="4" s="1"/>
  <c r="H341" i="4"/>
  <c r="K341" i="4" s="1"/>
  <c r="H342" i="4"/>
  <c r="K342" i="4" s="1"/>
  <c r="H343" i="4"/>
  <c r="K343" i="4" s="1"/>
  <c r="H344" i="4"/>
  <c r="K344" i="4" s="1"/>
  <c r="H345" i="4"/>
  <c r="K345" i="4" s="1"/>
  <c r="H346" i="4"/>
  <c r="K346" i="4" s="1"/>
  <c r="H347" i="4"/>
  <c r="K347" i="4" s="1"/>
  <c r="H348" i="4"/>
  <c r="K348" i="4" s="1"/>
  <c r="H349" i="4"/>
  <c r="K349" i="4" s="1"/>
  <c r="H350" i="4"/>
  <c r="K350" i="4" s="1"/>
  <c r="H351" i="4"/>
  <c r="K351" i="4" s="1"/>
  <c r="H352" i="4"/>
  <c r="K352" i="4" s="1"/>
  <c r="K353" i="4"/>
  <c r="H354" i="4"/>
  <c r="K354" i="4" s="1"/>
  <c r="H355" i="4"/>
  <c r="K355" i="4" s="1"/>
  <c r="H356" i="4"/>
  <c r="K356" i="4" s="1"/>
  <c r="H357" i="4"/>
  <c r="K357" i="4" s="1"/>
  <c r="H358" i="4"/>
  <c r="K358" i="4" s="1"/>
  <c r="H359" i="4"/>
  <c r="K359" i="4" s="1"/>
  <c r="H360" i="4"/>
  <c r="K360" i="4" s="1"/>
  <c r="H361" i="4"/>
  <c r="K361" i="4" s="1"/>
  <c r="H362" i="4"/>
  <c r="K362" i="4" s="1"/>
  <c r="H363" i="4"/>
  <c r="K363" i="4" s="1"/>
  <c r="H364" i="4"/>
  <c r="K364" i="4" s="1"/>
  <c r="H365" i="4"/>
  <c r="K365" i="4" s="1"/>
  <c r="H366" i="4"/>
  <c r="K366" i="4" s="1"/>
  <c r="H367" i="4"/>
  <c r="K367" i="4" s="1"/>
  <c r="H368" i="4"/>
  <c r="K368" i="4" s="1"/>
  <c r="H369" i="4"/>
  <c r="K369" i="4" s="1"/>
  <c r="H370" i="4"/>
  <c r="K370" i="4" s="1"/>
  <c r="H371" i="4"/>
  <c r="K371" i="4" s="1"/>
  <c r="H372" i="4"/>
  <c r="K372" i="4" s="1"/>
  <c r="H373" i="4"/>
  <c r="K373" i="4" s="1"/>
  <c r="H374" i="4"/>
  <c r="K374" i="4" s="1"/>
  <c r="H375" i="4"/>
  <c r="K375" i="4" s="1"/>
  <c r="H376" i="4"/>
  <c r="K376" i="4" s="1"/>
  <c r="H377" i="4"/>
  <c r="K377" i="4" s="1"/>
  <c r="H378" i="4"/>
  <c r="K378" i="4" s="1"/>
  <c r="H379" i="4"/>
  <c r="K379" i="4" s="1"/>
  <c r="H380" i="4"/>
  <c r="K380" i="4" s="1"/>
  <c r="H381" i="4"/>
  <c r="K381" i="4" s="1"/>
  <c r="H382" i="4"/>
  <c r="K382" i="4" s="1"/>
  <c r="H383" i="4"/>
  <c r="K383" i="4" s="1"/>
  <c r="H384" i="4"/>
  <c r="K384" i="4" s="1"/>
  <c r="H385" i="4"/>
  <c r="K385" i="4" s="1"/>
  <c r="H386" i="4"/>
  <c r="K386" i="4" s="1"/>
  <c r="H387" i="4"/>
  <c r="K387" i="4" s="1"/>
  <c r="H388" i="4"/>
  <c r="K388" i="4" s="1"/>
  <c r="H389" i="4"/>
  <c r="K389" i="4" s="1"/>
  <c r="H390" i="4"/>
  <c r="H393" i="4"/>
  <c r="K393" i="4" s="1"/>
  <c r="H394" i="4"/>
  <c r="K394" i="4" s="1"/>
  <c r="H395" i="4"/>
  <c r="H396" i="4"/>
  <c r="H397" i="4"/>
  <c r="H398" i="4"/>
  <c r="H399" i="4"/>
  <c r="J294" i="4"/>
  <c r="K294" i="4"/>
  <c r="H294" i="4"/>
  <c r="J293" i="4"/>
  <c r="K293" i="4"/>
  <c r="H293" i="4"/>
  <c r="J292" i="4"/>
  <c r="K292" i="4"/>
  <c r="H292" i="4"/>
  <c r="J291" i="4"/>
  <c r="K291" i="4"/>
  <c r="H29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H202" i="4"/>
  <c r="K202" i="4" s="1"/>
  <c r="H203" i="4"/>
  <c r="K203" i="4" s="1"/>
  <c r="H204" i="4"/>
  <c r="K204" i="4" s="1"/>
  <c r="H205" i="4"/>
  <c r="K205" i="4" s="1"/>
  <c r="H206" i="4"/>
  <c r="K206" i="4" s="1"/>
  <c r="H207" i="4"/>
  <c r="K207" i="4" s="1"/>
  <c r="H208" i="4"/>
  <c r="K208" i="4" s="1"/>
  <c r="H209" i="4"/>
  <c r="K209" i="4" s="1"/>
  <c r="H210" i="4"/>
  <c r="K210" i="4" s="1"/>
  <c r="H211" i="4"/>
  <c r="K211" i="4" s="1"/>
  <c r="H212" i="4"/>
  <c r="K212" i="4" s="1"/>
  <c r="H213" i="4"/>
  <c r="K213" i="4" s="1"/>
  <c r="H214" i="4"/>
  <c r="K214" i="4" s="1"/>
  <c r="H215" i="4"/>
  <c r="K215" i="4" s="1"/>
  <c r="H216" i="4"/>
  <c r="K216" i="4" s="1"/>
  <c r="H217" i="4"/>
  <c r="K217" i="4" s="1"/>
  <c r="H218" i="4"/>
  <c r="K218" i="4" s="1"/>
  <c r="H219" i="4"/>
  <c r="K219" i="4" s="1"/>
  <c r="H220" i="4"/>
  <c r="K220" i="4" s="1"/>
  <c r="H221" i="4"/>
  <c r="K221" i="4" s="1"/>
  <c r="H222" i="4"/>
  <c r="K222" i="4" s="1"/>
  <c r="H223" i="4"/>
  <c r="K223" i="4" s="1"/>
  <c r="H224" i="4"/>
  <c r="K224" i="4" s="1"/>
  <c r="H225" i="4"/>
  <c r="K225" i="4" s="1"/>
  <c r="H226" i="4"/>
  <c r="K226" i="4" s="1"/>
  <c r="H227" i="4"/>
  <c r="K227" i="4" s="1"/>
  <c r="H228" i="4"/>
  <c r="K228" i="4" s="1"/>
  <c r="H229" i="4"/>
  <c r="K229" i="4" s="1"/>
  <c r="H230" i="4"/>
  <c r="K230" i="4" s="1"/>
  <c r="H231" i="4"/>
  <c r="K231" i="4" s="1"/>
  <c r="H232" i="4"/>
  <c r="K232" i="4" s="1"/>
  <c r="H233" i="4"/>
  <c r="K233" i="4" s="1"/>
  <c r="H234" i="4"/>
  <c r="K234" i="4" s="1"/>
  <c r="H235" i="4"/>
  <c r="K235" i="4" s="1"/>
  <c r="H236" i="4"/>
  <c r="K236" i="4" s="1"/>
  <c r="H237" i="4"/>
  <c r="K237" i="4" s="1"/>
  <c r="H238" i="4"/>
  <c r="K238" i="4" s="1"/>
  <c r="H239" i="4"/>
  <c r="K239" i="4" s="1"/>
  <c r="H240" i="4"/>
  <c r="K240" i="4" s="1"/>
  <c r="H241" i="4"/>
  <c r="K241" i="4" s="1"/>
  <c r="H242" i="4"/>
  <c r="K242" i="4" s="1"/>
  <c r="H243" i="4"/>
  <c r="K243" i="4" s="1"/>
  <c r="H244" i="4"/>
  <c r="K244" i="4" s="1"/>
  <c r="H245" i="4"/>
  <c r="K245" i="4" s="1"/>
  <c r="H246" i="4"/>
  <c r="K246" i="4" s="1"/>
  <c r="H247" i="4"/>
  <c r="K247" i="4" s="1"/>
  <c r="H248" i="4"/>
  <c r="K248" i="4" s="1"/>
  <c r="H249" i="4"/>
  <c r="K249" i="4" s="1"/>
  <c r="H250" i="4"/>
  <c r="K250" i="4" s="1"/>
  <c r="H251" i="4"/>
  <c r="K251" i="4" s="1"/>
  <c r="H252" i="4"/>
  <c r="K252" i="4" s="1"/>
  <c r="H253" i="4"/>
  <c r="K253" i="4" s="1"/>
  <c r="H254" i="4"/>
  <c r="K254" i="4" s="1"/>
  <c r="H255" i="4"/>
  <c r="K255" i="4" s="1"/>
  <c r="H256" i="4"/>
  <c r="K256" i="4" s="1"/>
  <c r="H257" i="4"/>
  <c r="K257" i="4" s="1"/>
  <c r="H258" i="4"/>
  <c r="K258" i="4" s="1"/>
  <c r="H259" i="4"/>
  <c r="K259" i="4" s="1"/>
  <c r="H260" i="4"/>
  <c r="K260" i="4" s="1"/>
  <c r="H261" i="4"/>
  <c r="K261" i="4" s="1"/>
  <c r="H262" i="4"/>
  <c r="K262" i="4" s="1"/>
  <c r="H263" i="4"/>
  <c r="K263" i="4" s="1"/>
  <c r="H264" i="4"/>
  <c r="H265" i="4"/>
  <c r="K265" i="4" s="1"/>
  <c r="H266" i="4"/>
  <c r="K266" i="4" s="1"/>
  <c r="H267" i="4"/>
  <c r="K267" i="4" s="1"/>
  <c r="H268" i="4"/>
  <c r="K268" i="4" s="1"/>
  <c r="H269" i="4"/>
  <c r="K269" i="4" s="1"/>
  <c r="H270" i="4"/>
  <c r="K270" i="4" s="1"/>
  <c r="H271" i="4"/>
  <c r="K271" i="4" s="1"/>
  <c r="H272" i="4"/>
  <c r="K272" i="4" s="1"/>
  <c r="H273" i="4"/>
  <c r="K273" i="4" s="1"/>
  <c r="H274" i="4"/>
  <c r="K274" i="4" s="1"/>
  <c r="H275" i="4"/>
  <c r="K275" i="4" s="1"/>
  <c r="H276" i="4"/>
  <c r="K276" i="4" s="1"/>
  <c r="H277" i="4"/>
  <c r="K277" i="4" s="1"/>
  <c r="H278" i="4"/>
  <c r="K278" i="4" s="1"/>
  <c r="H279" i="4"/>
  <c r="K279" i="4" s="1"/>
  <c r="H280" i="4"/>
  <c r="K280" i="4" s="1"/>
  <c r="H281" i="4"/>
  <c r="K281" i="4" s="1"/>
  <c r="H282" i="4"/>
  <c r="K282" i="4" s="1"/>
  <c r="H283" i="4"/>
  <c r="K283" i="4" s="1"/>
  <c r="H284" i="4"/>
  <c r="K284" i="4" s="1"/>
  <c r="H285" i="4"/>
  <c r="K285" i="4" s="1"/>
  <c r="H286" i="4"/>
  <c r="K286" i="4" s="1"/>
  <c r="H287" i="4"/>
  <c r="K287" i="4" s="1"/>
  <c r="H288" i="4"/>
  <c r="K288" i="4" s="1"/>
  <c r="H289" i="4"/>
  <c r="K289" i="4" s="1"/>
  <c r="H290" i="4"/>
  <c r="K290" i="4" s="1"/>
  <c r="J201" i="4"/>
  <c r="K201" i="4"/>
  <c r="H201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K171" i="4" s="1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2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J119" i="4"/>
  <c r="J120" i="4"/>
  <c r="J121" i="4"/>
  <c r="J122" i="4"/>
  <c r="J123" i="4"/>
  <c r="K123" i="4" s="1"/>
  <c r="J124" i="4"/>
  <c r="K124" i="4" s="1"/>
  <c r="J125" i="4"/>
  <c r="K125" i="4" s="1"/>
  <c r="J126" i="4"/>
  <c r="K126" i="4" s="1"/>
  <c r="J127" i="4"/>
  <c r="K127" i="4" s="1"/>
  <c r="J128" i="4"/>
  <c r="K128" i="4" s="1"/>
  <c r="J129" i="4"/>
  <c r="K129" i="4" s="1"/>
  <c r="J130" i="4"/>
  <c r="K130" i="4" s="1"/>
  <c r="J131" i="4"/>
  <c r="K131" i="4" s="1"/>
  <c r="J132" i="4"/>
  <c r="K132" i="4" s="1"/>
  <c r="J133" i="4"/>
  <c r="K133" i="4" s="1"/>
  <c r="J134" i="4"/>
  <c r="K134" i="4" s="1"/>
  <c r="J135" i="4"/>
  <c r="K135" i="4" s="1"/>
  <c r="J136" i="4"/>
  <c r="K136" i="4" s="1"/>
  <c r="J137" i="4"/>
  <c r="K137" i="4" s="1"/>
  <c r="J138" i="4"/>
  <c r="K138" i="4" s="1"/>
  <c r="J139" i="4"/>
  <c r="K139" i="4" s="1"/>
  <c r="J140" i="4"/>
  <c r="K140" i="4" s="1"/>
  <c r="J141" i="4"/>
  <c r="K141" i="4" s="1"/>
  <c r="J142" i="4"/>
  <c r="K142" i="4" s="1"/>
  <c r="J143" i="4"/>
  <c r="K143" i="4" s="1"/>
  <c r="J144" i="4"/>
  <c r="K144" i="4" s="1"/>
  <c r="J145" i="4"/>
  <c r="K145" i="4" s="1"/>
  <c r="H119" i="4"/>
  <c r="K119" i="4" s="1"/>
  <c r="H120" i="4"/>
  <c r="K120" i="4" s="1"/>
  <c r="H121" i="4"/>
  <c r="K121" i="4" s="1"/>
  <c r="H122" i="4"/>
  <c r="K122" i="4" s="1"/>
  <c r="J118" i="4"/>
  <c r="J117" i="4"/>
  <c r="J116" i="4"/>
  <c r="J115" i="4"/>
  <c r="H115" i="4"/>
  <c r="K115" i="4" s="1"/>
  <c r="J114" i="4"/>
  <c r="H99" i="4"/>
  <c r="H57" i="4"/>
  <c r="K57" i="4" s="1"/>
  <c r="H114" i="4"/>
  <c r="K114" i="4" s="1"/>
  <c r="H116" i="4"/>
  <c r="K116" i="4" s="1"/>
  <c r="H117" i="4"/>
  <c r="K117" i="4" s="1"/>
  <c r="H118" i="4"/>
  <c r="K118" i="4" s="1"/>
  <c r="B5" i="4"/>
  <c r="H6" i="4"/>
  <c r="K6" i="4" s="1"/>
  <c r="H7" i="4"/>
  <c r="K7" i="4" s="1"/>
  <c r="H8" i="4"/>
  <c r="H9" i="4"/>
  <c r="K9" i="4" s="1"/>
  <c r="H10" i="4"/>
  <c r="K10" i="4" s="1"/>
  <c r="H11" i="4"/>
  <c r="K11" i="4" s="1"/>
  <c r="H12" i="4"/>
  <c r="K12" i="4" s="1"/>
  <c r="H13" i="4"/>
  <c r="H14" i="4"/>
  <c r="K14" i="4" s="1"/>
  <c r="H15" i="4"/>
  <c r="K15" i="4" s="1"/>
  <c r="H16" i="4"/>
  <c r="K16" i="4" s="1"/>
  <c r="H17" i="4"/>
  <c r="K17" i="4" s="1"/>
  <c r="H18" i="4"/>
  <c r="K18" i="4" s="1"/>
  <c r="H19" i="4"/>
  <c r="K19" i="4" s="1"/>
  <c r="H20" i="4"/>
  <c r="K20" i="4" s="1"/>
  <c r="H21" i="4"/>
  <c r="H22" i="4"/>
  <c r="K22" i="4" s="1"/>
  <c r="H23" i="4"/>
  <c r="K23" i="4" s="1"/>
  <c r="H24" i="4"/>
  <c r="K24" i="4" s="1"/>
  <c r="H25" i="4"/>
  <c r="K25" i="4" s="1"/>
  <c r="H26" i="4"/>
  <c r="K26" i="4" s="1"/>
  <c r="H27" i="4"/>
  <c r="K27" i="4" s="1"/>
  <c r="H28" i="4"/>
  <c r="K28" i="4" s="1"/>
  <c r="H29" i="4"/>
  <c r="K29" i="4" s="1"/>
  <c r="H30" i="4"/>
  <c r="K30" i="4" s="1"/>
  <c r="H31" i="4"/>
  <c r="K31" i="4" s="1"/>
  <c r="H32" i="4"/>
  <c r="K32" i="4" s="1"/>
  <c r="H33" i="4"/>
  <c r="H34" i="4"/>
  <c r="K34" i="4" s="1"/>
  <c r="H35" i="4"/>
  <c r="H36" i="4"/>
  <c r="K36" i="4" s="1"/>
  <c r="H37" i="4"/>
  <c r="H38" i="4"/>
  <c r="K38" i="4" s="1"/>
  <c r="H39" i="4"/>
  <c r="H40" i="4"/>
  <c r="K40" i="4" s="1"/>
  <c r="H41" i="4"/>
  <c r="K41" i="4" s="1"/>
  <c r="H42" i="4"/>
  <c r="K42" i="4" s="1"/>
  <c r="H43" i="4"/>
  <c r="K43" i="4" s="1"/>
  <c r="H44" i="4"/>
  <c r="K44" i="4" s="1"/>
  <c r="H45" i="4"/>
  <c r="K45" i="4" s="1"/>
  <c r="H46" i="4"/>
  <c r="K46" i="4" s="1"/>
  <c r="H47" i="4"/>
  <c r="K47" i="4" s="1"/>
  <c r="H48" i="4"/>
  <c r="K48" i="4" s="1"/>
  <c r="H49" i="4"/>
  <c r="K49" i="4" s="1"/>
  <c r="H50" i="4"/>
  <c r="K50" i="4" s="1"/>
  <c r="H51" i="4"/>
  <c r="K51" i="4" s="1"/>
  <c r="H52" i="4"/>
  <c r="K52" i="4" s="1"/>
  <c r="H53" i="4"/>
  <c r="K53" i="4" s="1"/>
  <c r="H54" i="4"/>
  <c r="K54" i="4" s="1"/>
  <c r="H55" i="4"/>
  <c r="K55" i="4" s="1"/>
  <c r="H56" i="4"/>
  <c r="H58" i="4"/>
  <c r="K58" i="4" s="1"/>
  <c r="H59" i="4"/>
  <c r="K59" i="4" s="1"/>
  <c r="H60" i="4"/>
  <c r="H61" i="4"/>
  <c r="K61" i="4" s="1"/>
  <c r="H62" i="4"/>
  <c r="K62" i="4" s="1"/>
  <c r="H63" i="4"/>
  <c r="K63" i="4" s="1"/>
  <c r="H64" i="4"/>
  <c r="K64" i="4" s="1"/>
  <c r="H65" i="4"/>
  <c r="K65" i="4" s="1"/>
  <c r="H66" i="4"/>
  <c r="K66" i="4" s="1"/>
  <c r="H67" i="4"/>
  <c r="K67" i="4" s="1"/>
  <c r="H68" i="4"/>
  <c r="K68" i="4" s="1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K94" i="4" s="1"/>
  <c r="J95" i="4"/>
  <c r="J96" i="4"/>
  <c r="J97" i="4"/>
  <c r="J98" i="4"/>
  <c r="J99" i="4"/>
  <c r="J100" i="4"/>
  <c r="J101" i="4"/>
  <c r="J102" i="4"/>
  <c r="J103" i="4"/>
  <c r="J104" i="4"/>
  <c r="K104" i="4" s="1"/>
  <c r="J105" i="4"/>
  <c r="J106" i="4"/>
  <c r="J107" i="4"/>
  <c r="J108" i="4"/>
  <c r="J109" i="4"/>
  <c r="J110" i="4"/>
  <c r="J111" i="4"/>
  <c r="J112" i="4"/>
  <c r="K112" i="4" s="1"/>
  <c r="J113" i="4"/>
  <c r="K113" i="4" s="1"/>
  <c r="K69" i="4"/>
  <c r="K70" i="4"/>
  <c r="K71" i="4"/>
  <c r="K73" i="4"/>
  <c r="K74" i="4"/>
  <c r="K75" i="4"/>
  <c r="K76" i="4"/>
  <c r="K77" i="4"/>
  <c r="K78" i="4"/>
  <c r="K79" i="4"/>
  <c r="K80" i="4"/>
  <c r="K100" i="4"/>
  <c r="J5" i="4"/>
  <c r="H5" i="4"/>
  <c r="H109" i="2"/>
  <c r="C36" i="1"/>
  <c r="C35" i="1"/>
  <c r="C34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33" i="1"/>
  <c r="C12" i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G5" i="9"/>
  <c r="G5" i="8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2" i="2"/>
  <c r="M351" i="2"/>
  <c r="M350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4" i="2"/>
  <c r="M322" i="2"/>
  <c r="M320" i="2"/>
  <c r="M318" i="2"/>
  <c r="M317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6" i="2"/>
  <c r="M285" i="2"/>
  <c r="M284" i="2"/>
  <c r="M283" i="2"/>
  <c r="M282" i="2"/>
  <c r="M281" i="2"/>
  <c r="M279" i="2"/>
  <c r="M278" i="2"/>
  <c r="M276" i="2"/>
  <c r="M275" i="2"/>
  <c r="M270" i="2"/>
  <c r="M268" i="2"/>
  <c r="M267" i="2"/>
  <c r="M266" i="2"/>
  <c r="M265" i="2"/>
  <c r="M264" i="2"/>
  <c r="M263" i="2"/>
  <c r="M262" i="2"/>
  <c r="M261" i="2"/>
  <c r="M260" i="2"/>
  <c r="M259" i="2"/>
  <c r="M257" i="2"/>
  <c r="M256" i="2"/>
  <c r="M255" i="2"/>
  <c r="M254" i="2"/>
  <c r="M253" i="2"/>
  <c r="M252" i="2"/>
  <c r="M250" i="2"/>
  <c r="M249" i="2"/>
  <c r="M248" i="2"/>
  <c r="M247" i="2"/>
  <c r="M246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5" i="2"/>
  <c r="M134" i="2"/>
  <c r="M133" i="2"/>
  <c r="M132" i="2"/>
  <c r="M131" i="2"/>
  <c r="M130" i="2"/>
  <c r="M129" i="2"/>
  <c r="M128" i="2"/>
  <c r="M126" i="2"/>
  <c r="M125" i="2"/>
  <c r="M124" i="2"/>
  <c r="M123" i="2"/>
  <c r="M122" i="2"/>
  <c r="M121" i="2"/>
  <c r="M120" i="2"/>
  <c r="M119" i="2"/>
  <c r="M117" i="2"/>
  <c r="M116" i="2"/>
  <c r="M115" i="2"/>
  <c r="M114" i="2"/>
  <c r="M111" i="2"/>
  <c r="M110" i="2"/>
  <c r="M109" i="2"/>
  <c r="M108" i="2"/>
  <c r="M107" i="2"/>
  <c r="M106" i="2"/>
  <c r="M105" i="2"/>
  <c r="M104" i="2"/>
  <c r="M100" i="2"/>
  <c r="M99" i="2"/>
  <c r="M98" i="2"/>
  <c r="M97" i="2"/>
  <c r="M96" i="2"/>
  <c r="M94" i="2"/>
  <c r="M92" i="2"/>
  <c r="M91" i="2"/>
  <c r="M90" i="2"/>
  <c r="M89" i="2"/>
  <c r="M88" i="2"/>
  <c r="M87" i="2"/>
  <c r="M84" i="2"/>
  <c r="M83" i="2"/>
  <c r="M82" i="2"/>
  <c r="M81" i="2"/>
  <c r="M80" i="2"/>
  <c r="M79" i="2"/>
  <c r="M78" i="2"/>
  <c r="M77" i="2"/>
  <c r="M76" i="2"/>
  <c r="M73" i="2"/>
  <c r="M72" i="2"/>
  <c r="M70" i="2"/>
  <c r="M69" i="2"/>
  <c r="M68" i="2"/>
  <c r="M67" i="2"/>
  <c r="M66" i="2"/>
  <c r="M65" i="2"/>
  <c r="M64" i="2"/>
  <c r="M62" i="2"/>
  <c r="M61" i="2"/>
  <c r="M60" i="2"/>
  <c r="M59" i="2"/>
  <c r="M58" i="2"/>
  <c r="M57" i="2"/>
  <c r="M56" i="2"/>
  <c r="M55" i="2"/>
  <c r="M54" i="2"/>
  <c r="M52" i="2"/>
  <c r="M51" i="2"/>
  <c r="M50" i="2"/>
  <c r="M49" i="2"/>
  <c r="M48" i="2"/>
  <c r="M47" i="2"/>
  <c r="M46" i="2"/>
  <c r="M45" i="2"/>
  <c r="M44" i="2"/>
  <c r="M43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1" i="2"/>
  <c r="M9" i="2"/>
  <c r="M8" i="2"/>
  <c r="M7" i="2"/>
  <c r="M6" i="2"/>
  <c r="M5" i="2"/>
  <c r="H5" i="2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K6" i="1"/>
  <c r="H6" i="1"/>
  <c r="E6" i="1"/>
  <c r="K635" i="4" l="1"/>
  <c r="K585" i="4"/>
  <c r="K569" i="4"/>
  <c r="K474" i="4"/>
  <c r="K399" i="4"/>
  <c r="H445" i="2"/>
  <c r="B6" i="1" s="1"/>
  <c r="K398" i="4"/>
  <c r="K397" i="4"/>
  <c r="K396" i="4"/>
  <c r="K395" i="4"/>
  <c r="K264" i="4"/>
  <c r="K200" i="4"/>
  <c r="K173" i="4"/>
  <c r="K13" i="4"/>
  <c r="K33" i="4"/>
  <c r="K35" i="4"/>
  <c r="K37" i="4"/>
  <c r="K56" i="4"/>
  <c r="K72" i="4"/>
  <c r="K82" i="4"/>
  <c r="K88" i="4"/>
  <c r="K89" i="4"/>
  <c r="K92" i="4"/>
  <c r="K111" i="4"/>
  <c r="K110" i="4"/>
  <c r="K109" i="4"/>
  <c r="K108" i="4"/>
  <c r="K107" i="4"/>
  <c r="K106" i="4"/>
  <c r="K105" i="4"/>
  <c r="K103" i="4"/>
  <c r="K102" i="4"/>
  <c r="K101" i="4"/>
  <c r="K99" i="4"/>
  <c r="K98" i="4"/>
  <c r="K97" i="4"/>
  <c r="K96" i="4"/>
  <c r="K95" i="4"/>
  <c r="K93" i="4"/>
  <c r="K91" i="4"/>
  <c r="K90" i="4"/>
  <c r="K87" i="4"/>
  <c r="K86" i="4"/>
  <c r="K85" i="4"/>
  <c r="K84" i="4"/>
  <c r="K83" i="4"/>
  <c r="K81" i="4"/>
  <c r="K60" i="4"/>
  <c r="K39" i="4"/>
  <c r="K21" i="4"/>
  <c r="K8" i="4"/>
  <c r="K5" i="4"/>
  <c r="H5" i="9"/>
  <c r="H5" i="8"/>
</calcChain>
</file>

<file path=xl/sharedStrings.xml><?xml version="1.0" encoding="utf-8"?>
<sst xmlns="http://schemas.openxmlformats.org/spreadsheetml/2006/main" count="2127" uniqueCount="1197">
  <si>
    <t>Pharmacy Operations Control Dashboard</t>
  </si>
  <si>
    <t>Real-time clinical metrics &amp; financial summary (KES)</t>
  </si>
  <si>
    <t>Total Stock Valuation</t>
  </si>
  <si>
    <t>Total Items Tracked</t>
  </si>
  <si>
    <t>Active Expiry Alerts</t>
  </si>
  <si>
    <t>Low Stock Reorder Alerts</t>
  </si>
  <si>
    <t>Inventory Category Analytics Matrix</t>
  </si>
  <si>
    <t>Category Profile</t>
  </si>
  <si>
    <t>Line Items Managed</t>
  </si>
  <si>
    <t>Reorder Flags</t>
  </si>
  <si>
    <t>Analgesic Injection</t>
  </si>
  <si>
    <t>Analgesic Syrup</t>
  </si>
  <si>
    <t>Antacids</t>
  </si>
  <si>
    <t>Anti Amoeba</t>
  </si>
  <si>
    <t>Anti Hypertensives</t>
  </si>
  <si>
    <t>Antibiotics</t>
  </si>
  <si>
    <t>Antiemetics</t>
  </si>
  <si>
    <t>Antifungals</t>
  </si>
  <si>
    <t>Antihistamines</t>
  </si>
  <si>
    <t>Antitussives</t>
  </si>
  <si>
    <t>Appetite &amp; Vitamins</t>
  </si>
  <si>
    <t>Appetite Stimulants</t>
  </si>
  <si>
    <t>Blood Builders</t>
  </si>
  <si>
    <t>Creams &amp; Topicals</t>
  </si>
  <si>
    <t>DM Drugs</t>
  </si>
  <si>
    <t>Dewormers &amp; Gastro</t>
  </si>
  <si>
    <t>Diagnostic Gadgets</t>
  </si>
  <si>
    <t>Family Planning</t>
  </si>
  <si>
    <t>Fluids</t>
  </si>
  <si>
    <t>Injectables</t>
  </si>
  <si>
    <t>Lab Materials</t>
  </si>
  <si>
    <t>Ophthalmic &amp; Otic</t>
  </si>
  <si>
    <t>Supplies &amp; Consumables</t>
  </si>
  <si>
    <t>Supplies &amp; Pharmasal spray</t>
  </si>
  <si>
    <t>Tablets Analgesic</t>
  </si>
  <si>
    <t>Master Pharmaceutical Inventory Ledger</t>
  </si>
  <si>
    <t>Item ID</t>
  </si>
  <si>
    <t>Category</t>
  </si>
  <si>
    <t>Item Name</t>
  </si>
  <si>
    <t>Current Stock (Qty)</t>
  </si>
  <si>
    <t>Buying Price (KES)</t>
  </si>
  <si>
    <t>Selling Price (KES)</t>
  </si>
  <si>
    <t>Total Value (KES)</t>
  </si>
  <si>
    <t>Supplier</t>
  </si>
  <si>
    <t>Batch Number</t>
  </si>
  <si>
    <t>Expiry Date</t>
  </si>
  <si>
    <t>Min Stock Level</t>
  </si>
  <si>
    <t>Status</t>
  </si>
  <si>
    <t>PH-1005</t>
  </si>
  <si>
    <t>PH-1006</t>
  </si>
  <si>
    <t>PH-1007</t>
  </si>
  <si>
    <t>PH-1008</t>
  </si>
  <si>
    <t>PH-1009</t>
  </si>
  <si>
    <t>PH-1011</t>
  </si>
  <si>
    <t>PH-1013</t>
  </si>
  <si>
    <t>PH-1014</t>
  </si>
  <si>
    <t>PH-1015</t>
  </si>
  <si>
    <t>PH-1016</t>
  </si>
  <si>
    <t>PH-1017</t>
  </si>
  <si>
    <t>PH-1018</t>
  </si>
  <si>
    <t>PH-1019</t>
  </si>
  <si>
    <t>PH-1020</t>
  </si>
  <si>
    <t>Cefixime 400mg</t>
  </si>
  <si>
    <t>PH-1021</t>
  </si>
  <si>
    <t>PH-1022</t>
  </si>
  <si>
    <t>PH-1023</t>
  </si>
  <si>
    <t>PH-1024</t>
  </si>
  <si>
    <t>PH-1025</t>
  </si>
  <si>
    <t>Doxycycline</t>
  </si>
  <si>
    <t>PH-1026</t>
  </si>
  <si>
    <t>Ciprofloxacin 500</t>
  </si>
  <si>
    <t>PH-1027</t>
  </si>
  <si>
    <t>nitrofurantoin</t>
  </si>
  <si>
    <t>PH-1028</t>
  </si>
  <si>
    <t>PH-1029</t>
  </si>
  <si>
    <t>PH-1030</t>
  </si>
  <si>
    <t>PH-1031</t>
  </si>
  <si>
    <t>PH-1032</t>
  </si>
  <si>
    <t>Clotrimazole pessaries</t>
  </si>
  <si>
    <t>PH-1033</t>
  </si>
  <si>
    <t>PH-1034</t>
  </si>
  <si>
    <t>PH-1035</t>
  </si>
  <si>
    <t>PH-1036</t>
  </si>
  <si>
    <t>PH-1037</t>
  </si>
  <si>
    <t>PH-1038</t>
  </si>
  <si>
    <t>Ibugesic 100 ml</t>
  </si>
  <si>
    <t>PH-1039</t>
  </si>
  <si>
    <t>Ibugesic 60ml</t>
  </si>
  <si>
    <t>PH-1040</t>
  </si>
  <si>
    <t>Calpol 100ml</t>
  </si>
  <si>
    <t>PH-1041</t>
  </si>
  <si>
    <t>Calpol 60 ml</t>
  </si>
  <si>
    <t>PH-1042</t>
  </si>
  <si>
    <t>PH-1043</t>
  </si>
  <si>
    <t>PH-1044</t>
  </si>
  <si>
    <t>PH-1045</t>
  </si>
  <si>
    <t>PH-1046</t>
  </si>
  <si>
    <t>PH-1047</t>
  </si>
  <si>
    <t>PH-1048</t>
  </si>
  <si>
    <t>PH-1049</t>
  </si>
  <si>
    <t>Diracip syrup</t>
  </si>
  <si>
    <t>PH-1050</t>
  </si>
  <si>
    <t>Enterozole</t>
  </si>
  <si>
    <t>PH-1051</t>
  </si>
  <si>
    <t>Enterogemina</t>
  </si>
  <si>
    <t>PH-1052</t>
  </si>
  <si>
    <t>Aminoxidine</t>
  </si>
  <si>
    <t>PH-1053</t>
  </si>
  <si>
    <t>PH-1054</t>
  </si>
  <si>
    <t>Flagyl d2</t>
  </si>
  <si>
    <t>PH-1055</t>
  </si>
  <si>
    <t>PH-1056</t>
  </si>
  <si>
    <t>Neopeptode</t>
  </si>
  <si>
    <t>PH-1057</t>
  </si>
  <si>
    <t>G florax</t>
  </si>
  <si>
    <t>PH-1058</t>
  </si>
  <si>
    <t>Good morning</t>
  </si>
  <si>
    <t>PH-1059</t>
  </si>
  <si>
    <t>PH-1060</t>
  </si>
  <si>
    <t>PH-1061</t>
  </si>
  <si>
    <t>PH-1062</t>
  </si>
  <si>
    <t>PH-1063</t>
  </si>
  <si>
    <t>PH-1064</t>
  </si>
  <si>
    <t>Tripozed</t>
  </si>
  <si>
    <t>PH-1065</t>
  </si>
  <si>
    <t>PH-1066</t>
  </si>
  <si>
    <t>Cetriplus</t>
  </si>
  <si>
    <t>PH-1067</t>
  </si>
  <si>
    <t>PH-1068</t>
  </si>
  <si>
    <t>PH-1069</t>
  </si>
  <si>
    <t>PH-1070</t>
  </si>
  <si>
    <t>PH-1071</t>
  </si>
  <si>
    <t>PH-1072</t>
  </si>
  <si>
    <t>PH-1073</t>
  </si>
  <si>
    <t>Trio Hist</t>
  </si>
  <si>
    <t>PH-1074</t>
  </si>
  <si>
    <t>PH-1075</t>
  </si>
  <si>
    <t>PH-1076</t>
  </si>
  <si>
    <t>PH-1077</t>
  </si>
  <si>
    <t>PH-1078</t>
  </si>
  <si>
    <t>PH-1079</t>
  </si>
  <si>
    <t>Dacof</t>
  </si>
  <si>
    <t>PH-1080</t>
  </si>
  <si>
    <t>Tricof</t>
  </si>
  <si>
    <t>PH-1081</t>
  </si>
  <si>
    <t>PH-1082</t>
  </si>
  <si>
    <t>Promethazine syrup</t>
  </si>
  <si>
    <t>PH-1083</t>
  </si>
  <si>
    <t>Brozelin</t>
  </si>
  <si>
    <t>PH-1084</t>
  </si>
  <si>
    <t>Zefcoin</t>
  </si>
  <si>
    <t>PH-1085</t>
  </si>
  <si>
    <t>PH-1086</t>
  </si>
  <si>
    <t>PH-1087</t>
  </si>
  <si>
    <t>PH-1088</t>
  </si>
  <si>
    <t>PH-1089</t>
  </si>
  <si>
    <t>Onecid</t>
  </si>
  <si>
    <t>PH-1090</t>
  </si>
  <si>
    <t>PH-1091</t>
  </si>
  <si>
    <t>Nill acid</t>
  </si>
  <si>
    <t>PH-1092</t>
  </si>
  <si>
    <t>Sungel</t>
  </si>
  <si>
    <t>PH-1093</t>
  </si>
  <si>
    <t>PH-1094</t>
  </si>
  <si>
    <t>Trugel</t>
  </si>
  <si>
    <t>PH-1095</t>
  </si>
  <si>
    <t>PH-1096</t>
  </si>
  <si>
    <t>Catoximag</t>
  </si>
  <si>
    <t>PH-1097</t>
  </si>
  <si>
    <t>Benagas</t>
  </si>
  <si>
    <t>PH-1098</t>
  </si>
  <si>
    <t>Gaviscon</t>
  </si>
  <si>
    <t>PH-1099</t>
  </si>
  <si>
    <t>Sculaphet gel</t>
  </si>
  <si>
    <t>PH-1100</t>
  </si>
  <si>
    <t>Stopacid</t>
  </si>
  <si>
    <t>PH-1101</t>
  </si>
  <si>
    <t>PH-1102</t>
  </si>
  <si>
    <t>PH-1103</t>
  </si>
  <si>
    <t>Scotts</t>
  </si>
  <si>
    <t>PH-1104</t>
  </si>
  <si>
    <t>Gypon</t>
  </si>
  <si>
    <t>PH-1105</t>
  </si>
  <si>
    <t>Cypomaltin</t>
  </si>
  <si>
    <t>PH-1106</t>
  </si>
  <si>
    <t>PH-1107</t>
  </si>
  <si>
    <t>Vastameal</t>
  </si>
  <si>
    <t>PH-1108</t>
  </si>
  <si>
    <t>Uplift c</t>
  </si>
  <si>
    <t>PH-1109</t>
  </si>
  <si>
    <t>PH-1110</t>
  </si>
  <si>
    <t>PH-1111</t>
  </si>
  <si>
    <t>PH-1112</t>
  </si>
  <si>
    <t>Bonnisan</t>
  </si>
  <si>
    <t>PH-1113</t>
  </si>
  <si>
    <t>PH-1114</t>
  </si>
  <si>
    <t>Coliza</t>
  </si>
  <si>
    <t>PH-1115</t>
  </si>
  <si>
    <t>PH-1116</t>
  </si>
  <si>
    <t>PH-1117</t>
  </si>
  <si>
    <t>Ferrose</t>
  </si>
  <si>
    <t>PH-1118</t>
  </si>
  <si>
    <t>PH-1119</t>
  </si>
  <si>
    <t>PH-1120</t>
  </si>
  <si>
    <t>Efedrin ear drops</t>
  </si>
  <si>
    <t>PH-1121</t>
  </si>
  <si>
    <t>PH-1122</t>
  </si>
  <si>
    <t>Gentamycin eye drops</t>
  </si>
  <si>
    <t>PH-1123</t>
  </si>
  <si>
    <t>Ciprofloxacin ear drops</t>
  </si>
  <si>
    <t>PH-1124</t>
  </si>
  <si>
    <t>PH-1125</t>
  </si>
  <si>
    <t>PH-1126</t>
  </si>
  <si>
    <t>genta glax</t>
  </si>
  <si>
    <t>PH-1127</t>
  </si>
  <si>
    <t>PH-1128</t>
  </si>
  <si>
    <t>maxol</t>
  </si>
  <si>
    <t>PH-1129</t>
  </si>
  <si>
    <t>occulast</t>
  </si>
  <si>
    <t>PH-1130</t>
  </si>
  <si>
    <t>grabacin powder</t>
  </si>
  <si>
    <t>PH-1131</t>
  </si>
  <si>
    <t>PH-1132</t>
  </si>
  <si>
    <t>intamine</t>
  </si>
  <si>
    <t>PH-1133</t>
  </si>
  <si>
    <t>PH-1134</t>
  </si>
  <si>
    <t>PH-1135</t>
  </si>
  <si>
    <t>PH-1137</t>
  </si>
  <si>
    <t>Rl</t>
  </si>
  <si>
    <t>PH-1138</t>
  </si>
  <si>
    <t>PH-1139</t>
  </si>
  <si>
    <t>Nifedipine</t>
  </si>
  <si>
    <t>PH-1140</t>
  </si>
  <si>
    <t>Preasartan h</t>
  </si>
  <si>
    <t>PH-1141</t>
  </si>
  <si>
    <t>PH-1142</t>
  </si>
  <si>
    <t>PH-1143</t>
  </si>
  <si>
    <t>Cavedilol</t>
  </si>
  <si>
    <t>PH-1144</t>
  </si>
  <si>
    <t>Aldomet</t>
  </si>
  <si>
    <t>PH-1145</t>
  </si>
  <si>
    <t>PH-1146</t>
  </si>
  <si>
    <t>Atenelol</t>
  </si>
  <si>
    <t>PH-1147</t>
  </si>
  <si>
    <t>Ferusemide</t>
  </si>
  <si>
    <t>PH-1148</t>
  </si>
  <si>
    <t>Hctz 25 and 50</t>
  </si>
  <si>
    <t>PH-1149</t>
  </si>
  <si>
    <t>Spironolactone</t>
  </si>
  <si>
    <t>PH-1150</t>
  </si>
  <si>
    <t>Atovastatin</t>
  </si>
  <si>
    <t>PH-1151</t>
  </si>
  <si>
    <t>Glucomet 500</t>
  </si>
  <si>
    <t>PH-1152</t>
  </si>
  <si>
    <t>Glucomet 850</t>
  </si>
  <si>
    <t>PH-1153</t>
  </si>
  <si>
    <t>Glucomet 1000</t>
  </si>
  <si>
    <t>PH-1154</t>
  </si>
  <si>
    <t>Glucophage 500</t>
  </si>
  <si>
    <t>PH-1155</t>
  </si>
  <si>
    <t>Glucophage 1000</t>
  </si>
  <si>
    <t>PH-1156</t>
  </si>
  <si>
    <t>Glucophage 850</t>
  </si>
  <si>
    <t>PH-1157</t>
  </si>
  <si>
    <t>Glibeclamide</t>
  </si>
  <si>
    <t>PH-1158</t>
  </si>
  <si>
    <t>Nogluc</t>
  </si>
  <si>
    <t>PH-1159</t>
  </si>
  <si>
    <t>PH-1160</t>
  </si>
  <si>
    <t>PH-1161</t>
  </si>
  <si>
    <t>PH-1162</t>
  </si>
  <si>
    <t>Action</t>
  </si>
  <si>
    <t>PH-1163</t>
  </si>
  <si>
    <t>PH-1164</t>
  </si>
  <si>
    <t>PH-1165</t>
  </si>
  <si>
    <t>PH-1166</t>
  </si>
  <si>
    <t>PH-1167</t>
  </si>
  <si>
    <t>PH-1168</t>
  </si>
  <si>
    <t>Pcm tablets</t>
  </si>
  <si>
    <t>PH-1169</t>
  </si>
  <si>
    <t>PH-1170</t>
  </si>
  <si>
    <t>PH-1171</t>
  </si>
  <si>
    <t>Mefenamic acid</t>
  </si>
  <si>
    <t>PH-1172</t>
  </si>
  <si>
    <t>Ibucarb</t>
  </si>
  <si>
    <t>PH-1173</t>
  </si>
  <si>
    <t>Lobak</t>
  </si>
  <si>
    <t>PH-1174</t>
  </si>
  <si>
    <t>indocine</t>
  </si>
  <si>
    <t>PH-1175</t>
  </si>
  <si>
    <t>Pregarbalin</t>
  </si>
  <si>
    <t>PH-1176</t>
  </si>
  <si>
    <t>Carbapentin</t>
  </si>
  <si>
    <t>PH-1177</t>
  </si>
  <si>
    <t>PH-1178</t>
  </si>
  <si>
    <t>Dolact Mr</t>
  </si>
  <si>
    <t>PH-1179</t>
  </si>
  <si>
    <t>Track Mr</t>
  </si>
  <si>
    <t>PH-1180</t>
  </si>
  <si>
    <t>PH-1181</t>
  </si>
  <si>
    <t>Zulu Mr</t>
  </si>
  <si>
    <t>PH-1182</t>
  </si>
  <si>
    <t>PH-1183</t>
  </si>
  <si>
    <t>PH-1184</t>
  </si>
  <si>
    <t>Relief mr</t>
  </si>
  <si>
    <t>PH-1185</t>
  </si>
  <si>
    <t>Zytol Mr</t>
  </si>
  <si>
    <t>PH-1186</t>
  </si>
  <si>
    <t>Tramadol</t>
  </si>
  <si>
    <t>PH-1187</t>
  </si>
  <si>
    <t>Diclofenac Inj</t>
  </si>
  <si>
    <t>PH-1188</t>
  </si>
  <si>
    <t>PH-1189</t>
  </si>
  <si>
    <t>Ketase</t>
  </si>
  <si>
    <t>PH-1190</t>
  </si>
  <si>
    <t>PH-1191</t>
  </si>
  <si>
    <t>Gacet 125 and 250</t>
  </si>
  <si>
    <t>PH-1192</t>
  </si>
  <si>
    <t>PH-1193</t>
  </si>
  <si>
    <t>PH-1194</t>
  </si>
  <si>
    <t>PH-1195</t>
  </si>
  <si>
    <t>Loperamide</t>
  </si>
  <si>
    <t>PH-1198</t>
  </si>
  <si>
    <t>Eflaron plus (tablet)</t>
  </si>
  <si>
    <t>PH-1199</t>
  </si>
  <si>
    <t>Itamaxin</t>
  </si>
  <si>
    <t>PH-1200</t>
  </si>
  <si>
    <t>Duracid</t>
  </si>
  <si>
    <t>PH-1201</t>
  </si>
  <si>
    <t>Aminocylin</t>
  </si>
  <si>
    <t>PH-1202</t>
  </si>
  <si>
    <t>PH-1203</t>
  </si>
  <si>
    <t>Zinc</t>
  </si>
  <si>
    <t>PH-1204</t>
  </si>
  <si>
    <t>PH-1205</t>
  </si>
  <si>
    <t>PH-1206</t>
  </si>
  <si>
    <t>Eno tabs</t>
  </si>
  <si>
    <t>PH-1207</t>
  </si>
  <si>
    <t>Nutricid tabs</t>
  </si>
  <si>
    <t>PH-1208</t>
  </si>
  <si>
    <t>Eno powder</t>
  </si>
  <si>
    <t>PH-1209</t>
  </si>
  <si>
    <t>PH-1210</t>
  </si>
  <si>
    <t>PH-1211</t>
  </si>
  <si>
    <t>Pentoplazole</t>
  </si>
  <si>
    <t>PH-1212</t>
  </si>
  <si>
    <t>Glycezine suppository</t>
  </si>
  <si>
    <t>PH-1213</t>
  </si>
  <si>
    <t>Soda mint</t>
  </si>
  <si>
    <t>PH-1215</t>
  </si>
  <si>
    <t>Annusol</t>
  </si>
  <si>
    <t>PH-1216</t>
  </si>
  <si>
    <t>Ashtone</t>
  </si>
  <si>
    <t>PH-1217</t>
  </si>
  <si>
    <t>PH-1218</t>
  </si>
  <si>
    <t>PH-1219</t>
  </si>
  <si>
    <t>PH-1220</t>
  </si>
  <si>
    <t>Flugone</t>
  </si>
  <si>
    <t>PH-1221</t>
  </si>
  <si>
    <t>Fluxicold</t>
  </si>
  <si>
    <t>PH-1222</t>
  </si>
  <si>
    <t>Bemacof tablet</t>
  </si>
  <si>
    <t>PH-1223</t>
  </si>
  <si>
    <t>PH-1224</t>
  </si>
  <si>
    <t>PH-1225</t>
  </si>
  <si>
    <t>Contas tabs</t>
  </si>
  <si>
    <t>PH-1226</t>
  </si>
  <si>
    <t>Homagone</t>
  </si>
  <si>
    <t>PH-1227</t>
  </si>
  <si>
    <t>Loratidine</t>
  </si>
  <si>
    <t>PH-1228</t>
  </si>
  <si>
    <t>Levocetrizine</t>
  </si>
  <si>
    <t>PH-1229</t>
  </si>
  <si>
    <t>Theophylline franol</t>
  </si>
  <si>
    <t>PH-1230</t>
  </si>
  <si>
    <t>PH-1231</t>
  </si>
  <si>
    <t>PH-1232</t>
  </si>
  <si>
    <t>PH-1233</t>
  </si>
  <si>
    <t>PH-1234</t>
  </si>
  <si>
    <t>PH-1235</t>
  </si>
  <si>
    <t>Nosic</t>
  </si>
  <si>
    <t>PH-1236</t>
  </si>
  <si>
    <t>PH-1237</t>
  </si>
  <si>
    <t>Domperdone</t>
  </si>
  <si>
    <t>PH-1238</t>
  </si>
  <si>
    <t>PH-1239</t>
  </si>
  <si>
    <t>PH-1240</t>
  </si>
  <si>
    <t>PH-1241</t>
  </si>
  <si>
    <t>Vitamin c</t>
  </si>
  <si>
    <t>PH-1242</t>
  </si>
  <si>
    <t>Multivitamin tablets</t>
  </si>
  <si>
    <t>PH-1243</t>
  </si>
  <si>
    <t>PH-1244</t>
  </si>
  <si>
    <t>PH-1246</t>
  </si>
  <si>
    <t>PH-1247</t>
  </si>
  <si>
    <t>Terbinafine</t>
  </si>
  <si>
    <t>PH-1248</t>
  </si>
  <si>
    <t>PH-1249</t>
  </si>
  <si>
    <t>PH-1250</t>
  </si>
  <si>
    <t>Xpen</t>
  </si>
  <si>
    <t>PH-1252</t>
  </si>
  <si>
    <t>Ceftaxime</t>
  </si>
  <si>
    <t>PH-1253</t>
  </si>
  <si>
    <t>PH-1254</t>
  </si>
  <si>
    <t>PH-1255</t>
  </si>
  <si>
    <t>Omeprazole inj</t>
  </si>
  <si>
    <t>PH-1256</t>
  </si>
  <si>
    <t>Tranexmaic</t>
  </si>
  <si>
    <t>PH-1257</t>
  </si>
  <si>
    <t>Diazepan inj</t>
  </si>
  <si>
    <t>PH-1259</t>
  </si>
  <si>
    <t>PH-1260</t>
  </si>
  <si>
    <t>Adrenaline</t>
  </si>
  <si>
    <t>PH-1261</t>
  </si>
  <si>
    <t>PH-1262</t>
  </si>
  <si>
    <t>PH-1263</t>
  </si>
  <si>
    <t>Gentamycin injection</t>
  </si>
  <si>
    <t>PH-1264</t>
  </si>
  <si>
    <t>PH-1265</t>
  </si>
  <si>
    <t>Needle holder</t>
  </si>
  <si>
    <t>PH-1266</t>
  </si>
  <si>
    <t>IV lines mix gauge</t>
  </si>
  <si>
    <t>PH-1267</t>
  </si>
  <si>
    <t>Sample collecting containers</t>
  </si>
  <si>
    <t>PH-1268</t>
  </si>
  <si>
    <t>Dust bins</t>
  </si>
  <si>
    <t>PH-1269</t>
  </si>
  <si>
    <t>PH-1270</t>
  </si>
  <si>
    <t>Dispensing envelopes</t>
  </si>
  <si>
    <t>PH-1271</t>
  </si>
  <si>
    <t>Packaging bags 1/4</t>
  </si>
  <si>
    <t>PH-1272</t>
  </si>
  <si>
    <t>Packaging bags 1/2</t>
  </si>
  <si>
    <t>PH-1273</t>
  </si>
  <si>
    <t>Cellotape</t>
  </si>
  <si>
    <t>PH-1274</t>
  </si>
  <si>
    <t>Stapler with Staples</t>
  </si>
  <si>
    <t>PH-1275</t>
  </si>
  <si>
    <t>PH-1276</t>
  </si>
  <si>
    <t>PH-1277</t>
  </si>
  <si>
    <t>PH-1278</t>
  </si>
  <si>
    <t>Methylated spirit</t>
  </si>
  <si>
    <t>PH-1279</t>
  </si>
  <si>
    <t>PH-1280</t>
  </si>
  <si>
    <t>PH-1281</t>
  </si>
  <si>
    <t>PH-1282</t>
  </si>
  <si>
    <t>Syringe 10cc with needle</t>
  </si>
  <si>
    <t>PH-1283</t>
  </si>
  <si>
    <t>Syringe 5 cc with needle</t>
  </si>
  <si>
    <t>PH-1284</t>
  </si>
  <si>
    <t>Syringe 2 cc with needle</t>
  </si>
  <si>
    <t>PH-1285</t>
  </si>
  <si>
    <t>Needle 21gauge</t>
  </si>
  <si>
    <t>PH-1286</t>
  </si>
  <si>
    <t>Needle 23 gauge</t>
  </si>
  <si>
    <t>PH-1287</t>
  </si>
  <si>
    <t>Cotton 400mg</t>
  </si>
  <si>
    <t>PH-1288</t>
  </si>
  <si>
    <t>Cotton 200mg</t>
  </si>
  <si>
    <t>PH-1289</t>
  </si>
  <si>
    <t>Cotton 100mg</t>
  </si>
  <si>
    <t>PH-1290</t>
  </si>
  <si>
    <t>Cotton 50 mg</t>
  </si>
  <si>
    <t>PH-1291</t>
  </si>
  <si>
    <t>Strapping 4 inch</t>
  </si>
  <si>
    <t>PH-1292</t>
  </si>
  <si>
    <t>Gauze roll</t>
  </si>
  <si>
    <t>PH-1293</t>
  </si>
  <si>
    <t>Gloves</t>
  </si>
  <si>
    <t>PH-1294</t>
  </si>
  <si>
    <t>PH-1295</t>
  </si>
  <si>
    <t>PH-1296</t>
  </si>
  <si>
    <t>Kaluma balm</t>
  </si>
  <si>
    <t>PH-1297</t>
  </si>
  <si>
    <t>Methol</t>
  </si>
  <si>
    <t>PH-1298</t>
  </si>
  <si>
    <t>Sterole gauze swab</t>
  </si>
  <si>
    <t>PH-1299</t>
  </si>
  <si>
    <t>Parrafin gauze</t>
  </si>
  <si>
    <t>PH-1300</t>
  </si>
  <si>
    <t>Trust struded</t>
  </si>
  <si>
    <t>PH-1301</t>
  </si>
  <si>
    <t>Trust ribbed</t>
  </si>
  <si>
    <t>PH-1302</t>
  </si>
  <si>
    <t>Trust classic</t>
  </si>
  <si>
    <t>PH-1303</t>
  </si>
  <si>
    <t>Kiss classic</t>
  </si>
  <si>
    <t>PH-1304</t>
  </si>
  <si>
    <t>Kiss strawberry</t>
  </si>
  <si>
    <t>PH-1305</t>
  </si>
  <si>
    <t>Kiss chocolate</t>
  </si>
  <si>
    <t>PH-1306</t>
  </si>
  <si>
    <t>PH-1307</t>
  </si>
  <si>
    <t>Crepe bandage 4 inch</t>
  </si>
  <si>
    <t>PH-1308</t>
  </si>
  <si>
    <t>Crepe bandage 6 inch</t>
  </si>
  <si>
    <t>PH-1309</t>
  </si>
  <si>
    <t>Crepe bandage 2 inch</t>
  </si>
  <si>
    <t>PH-1310</t>
  </si>
  <si>
    <t>PH-1311</t>
  </si>
  <si>
    <t>Pharmasal spray</t>
  </si>
  <si>
    <t>PH-1312</t>
  </si>
  <si>
    <t>Sutures</t>
  </si>
  <si>
    <t>PH-1313</t>
  </si>
  <si>
    <t>Needle holder (duplicate)</t>
  </si>
  <si>
    <t>PH-1314</t>
  </si>
  <si>
    <t>Deep heat spray</t>
  </si>
  <si>
    <t>PH-1316</t>
  </si>
  <si>
    <t>Water 300ml</t>
  </si>
  <si>
    <t>PH-1317</t>
  </si>
  <si>
    <t>Rechargable bulb</t>
  </si>
  <si>
    <t>PH-1318</t>
  </si>
  <si>
    <t>Unisten cream</t>
  </si>
  <si>
    <t>PH-1319</t>
  </si>
  <si>
    <t>PH-1320</t>
  </si>
  <si>
    <t>Epiderm</t>
  </si>
  <si>
    <t>PH-1321</t>
  </si>
  <si>
    <t>PH-1322</t>
  </si>
  <si>
    <t>PH-1323</t>
  </si>
  <si>
    <t>PH-1324</t>
  </si>
  <si>
    <t>Knee prosol</t>
  </si>
  <si>
    <t>PH-1325</t>
  </si>
  <si>
    <t>PH-1326</t>
  </si>
  <si>
    <t>Dermazine</t>
  </si>
  <si>
    <t>PH-1327</t>
  </si>
  <si>
    <t>PH-1328</t>
  </si>
  <si>
    <t>PH-1329</t>
  </si>
  <si>
    <t>Mupiburn</t>
  </si>
  <si>
    <t>PH-1330</t>
  </si>
  <si>
    <t>Liquid parafin</t>
  </si>
  <si>
    <t>PH-1331</t>
  </si>
  <si>
    <t>Calamine lotion</t>
  </si>
  <si>
    <t>PH-1332</t>
  </si>
  <si>
    <t>Optilube</t>
  </si>
  <si>
    <t>PH-1333</t>
  </si>
  <si>
    <t>PH-1334</t>
  </si>
  <si>
    <t>PH-1335</t>
  </si>
  <si>
    <t>Clotrimazole cream</t>
  </si>
  <si>
    <t>PH-1336</t>
  </si>
  <si>
    <t>Delofenac gel</t>
  </si>
  <si>
    <t>PH-1337</t>
  </si>
  <si>
    <t>Clob B</t>
  </si>
  <si>
    <t>PH-1338</t>
  </si>
  <si>
    <t>Zupricin</t>
  </si>
  <si>
    <t>PH-1339</t>
  </si>
  <si>
    <t>Mupiracin</t>
  </si>
  <si>
    <t>PH-1340</t>
  </si>
  <si>
    <t>PH-1341</t>
  </si>
  <si>
    <t>PH-1342</t>
  </si>
  <si>
    <t>Clomid</t>
  </si>
  <si>
    <t>PH-1343</t>
  </si>
  <si>
    <t>Fertilion f &amp;m</t>
  </si>
  <si>
    <t>PH-1344</t>
  </si>
  <si>
    <t>Dufastone</t>
  </si>
  <si>
    <t>PH-1345</t>
  </si>
  <si>
    <t>Steron</t>
  </si>
  <si>
    <t>PH-1346</t>
  </si>
  <si>
    <t>Sustin generic</t>
  </si>
  <si>
    <t>PH-1347</t>
  </si>
  <si>
    <t>PH-1348</t>
  </si>
  <si>
    <t>PH-1349</t>
  </si>
  <si>
    <t>PH-1350</t>
  </si>
  <si>
    <t>PH-1351</t>
  </si>
  <si>
    <t>PH-1352</t>
  </si>
  <si>
    <t>PH-1353</t>
  </si>
  <si>
    <t>Microlut</t>
  </si>
  <si>
    <t>PH-1354</t>
  </si>
  <si>
    <t>Mycrognon</t>
  </si>
  <si>
    <t>PH-1355</t>
  </si>
  <si>
    <t>Implanon</t>
  </si>
  <si>
    <t>PH-1356</t>
  </si>
  <si>
    <t>Nxt</t>
  </si>
  <si>
    <t>PH-1357</t>
  </si>
  <si>
    <t>Jadelle</t>
  </si>
  <si>
    <t>PH-1358</t>
  </si>
  <si>
    <t>PH-1359</t>
  </si>
  <si>
    <t>HIV test kit</t>
  </si>
  <si>
    <t>PH-1360</t>
  </si>
  <si>
    <t>Malaria test kit</t>
  </si>
  <si>
    <t>PH-1361</t>
  </si>
  <si>
    <t>Vdrl test kit</t>
  </si>
  <si>
    <t>PH-1362</t>
  </si>
  <si>
    <t>Clamydia kit</t>
  </si>
  <si>
    <t>PH-1363</t>
  </si>
  <si>
    <t>Gonnohoea kit</t>
  </si>
  <si>
    <t>PH-1364</t>
  </si>
  <si>
    <t>Urinalysis strip</t>
  </si>
  <si>
    <t>PH-1365</t>
  </si>
  <si>
    <t>Hpylory kit</t>
  </si>
  <si>
    <t>PH-1366</t>
  </si>
  <si>
    <t>Typhoid kit</t>
  </si>
  <si>
    <t>PH-1367</t>
  </si>
  <si>
    <t>Fob kit</t>
  </si>
  <si>
    <t>PH-1368</t>
  </si>
  <si>
    <t>PH-1369</t>
  </si>
  <si>
    <t>Clean gloves</t>
  </si>
  <si>
    <t>PH-1370</t>
  </si>
  <si>
    <t>Water dispenser</t>
  </si>
  <si>
    <t>PH-1371</t>
  </si>
  <si>
    <t>BP machine</t>
  </si>
  <si>
    <t>PH-1372</t>
  </si>
  <si>
    <t>Rbs machine</t>
  </si>
  <si>
    <t>PH-1373</t>
  </si>
  <si>
    <t>Spo2</t>
  </si>
  <si>
    <t>PH-1374</t>
  </si>
  <si>
    <t>Stethoscopes</t>
  </si>
  <si>
    <t>PH-1375</t>
  </si>
  <si>
    <t>Thermogun</t>
  </si>
  <si>
    <t>Total Valuation (KES)</t>
  </si>
  <si>
    <t>Pharmacy Transactions Ledger Tracking</t>
  </si>
  <si>
    <t>Date</t>
  </si>
  <si>
    <t>Quantity</t>
  </si>
  <si>
    <t>User Account</t>
  </si>
  <si>
    <t>Verified By</t>
  </si>
  <si>
    <t>Pharmacy Sales Ledger Tracking</t>
  </si>
  <si>
    <t>Invoice No</t>
  </si>
  <si>
    <t>Qty Sold</t>
  </si>
  <si>
    <t>Unit Price (KES)</t>
  </si>
  <si>
    <t>Gross Amount (KES)</t>
  </si>
  <si>
    <t>Pharmacy Suppliers Ledger Tracking</t>
  </si>
  <si>
    <t>Supplier ID</t>
  </si>
  <si>
    <t>Company Name</t>
  </si>
  <si>
    <t>Contact Person</t>
  </si>
  <si>
    <t>Phone Number</t>
  </si>
  <si>
    <t>Email Address</t>
  </si>
  <si>
    <t>Tax ID / PIN</t>
  </si>
  <si>
    <t>Outstanding Balance (KES)</t>
  </si>
  <si>
    <t>Pharmacy Purchase Orders Ledger Tracking</t>
  </si>
  <si>
    <t>Item Required</t>
  </si>
  <si>
    <t>Order Qty</t>
  </si>
  <si>
    <t>Estimated Unit Cost</t>
  </si>
  <si>
    <t>Delivery Window Status</t>
  </si>
  <si>
    <t>Pharmacy DDA Register Ledger Tracking</t>
  </si>
  <si>
    <t>DDA Log Ref</t>
  </si>
  <si>
    <t>Item ID (Controlled)</t>
  </si>
  <si>
    <t>Patient Name</t>
  </si>
  <si>
    <t>Prescribing Doctor</t>
  </si>
  <si>
    <t>Qty Dispensed</t>
  </si>
  <si>
    <t>Doctor License No</t>
  </si>
  <si>
    <t>Pharmacist Signature</t>
  </si>
  <si>
    <t>Pharmacy Expiry Register Ledger Tracking</t>
  </si>
  <si>
    <t>Log ID</t>
  </si>
  <si>
    <t>Days Remaining</t>
  </si>
  <si>
    <t>Risk Severity Status</t>
  </si>
  <si>
    <t>Pharmacy Stock Take Ledger Tracking</t>
  </si>
  <si>
    <t>Audit Date</t>
  </si>
  <si>
    <t>System Qty</t>
  </si>
  <si>
    <t>Physical Counted Qty</t>
  </si>
  <si>
    <t>Variance Qty</t>
  </si>
  <si>
    <t>Financial Discrepancy</t>
  </si>
  <si>
    <t>Action Taken</t>
  </si>
  <si>
    <t>28/06/2026</t>
  </si>
  <si>
    <t xml:space="preserve">Quantity </t>
  </si>
  <si>
    <t>Tricohist  small 60ml</t>
  </si>
  <si>
    <t>Tricohist  big 100 ml</t>
  </si>
  <si>
    <t>Tridex  100ml</t>
  </si>
  <si>
    <t>Tridex  60ml</t>
  </si>
  <si>
    <t>Trimex paed 100ml</t>
  </si>
  <si>
    <t>Trimex  diabetic 100 ml</t>
  </si>
  <si>
    <t xml:space="preserve">Thio carb 100ml </t>
  </si>
  <si>
    <t>Thio carb 60ml</t>
  </si>
  <si>
    <t>Ulgicid  pinapples 200ml</t>
  </si>
  <si>
    <t>Ulgicid cherry flavour 200ml</t>
  </si>
  <si>
    <t>Ulgicid mint flavour 200ml</t>
  </si>
  <si>
    <t>Buscopan hyoscine  syrup 60 mls</t>
  </si>
  <si>
    <t>brufen syrup 60mls</t>
  </si>
  <si>
    <t>brufen syrup 60mls (profen)</t>
  </si>
  <si>
    <t>brufen syrup 100mls (daprofen)</t>
  </si>
  <si>
    <t>Imacof  expectorant 100ml</t>
  </si>
  <si>
    <t>Imacof dry cough 100ml</t>
  </si>
  <si>
    <t>Infacol 55ml</t>
  </si>
  <si>
    <t>Koff gone  cough syrup 60ml</t>
  </si>
  <si>
    <t>Koff gone 5 cough syrup 100ml</t>
  </si>
  <si>
    <t>Lactulose lactulac solution 100ml</t>
  </si>
  <si>
    <t>Lactulose lactulin solution 100ml</t>
  </si>
  <si>
    <t>Lactulose lactitose syrup100ml</t>
  </si>
  <si>
    <t>Lunahist cough syrup 100mls</t>
  </si>
  <si>
    <t>Lunahist cough syrup 60mls</t>
  </si>
  <si>
    <t>Metronidazole syrup 100ml (triconazole)</t>
  </si>
  <si>
    <t>Multivitamin  syrup 100ml (euvitan)</t>
  </si>
  <si>
    <t xml:space="preserve">fluids </t>
  </si>
  <si>
    <t>Nystatin oral drops</t>
  </si>
  <si>
    <t>Lactulose osmolax solution 100ml</t>
  </si>
  <si>
    <t>Paracetamol syrup 100ml (betamol)</t>
  </si>
  <si>
    <t>Paracetamol syrup 100ml (curamol)</t>
  </si>
  <si>
    <t>Paracetamol syrup 60 ml (betamol)</t>
  </si>
  <si>
    <t>Paracetamol syrup 60ml (curamol)</t>
  </si>
  <si>
    <t>mouth wash</t>
  </si>
  <si>
    <t>Probeta N eye drops</t>
  </si>
  <si>
    <t>Ranferon syrup 200ml</t>
  </si>
  <si>
    <t>relcer gell 180ml</t>
  </si>
  <si>
    <t>remidin (mouth wash)</t>
  </si>
  <si>
    <t xml:space="preserve"> peardine Mouth wash</t>
  </si>
  <si>
    <t>Clozole B cream</t>
  </si>
  <si>
    <t>Clozole cream</t>
  </si>
  <si>
    <t>Deep heat rub 35mg</t>
  </si>
  <si>
    <t xml:space="preserve">diclofenac gel </t>
  </si>
  <si>
    <t xml:space="preserve">diprosal cream </t>
  </si>
  <si>
    <t>Elastoplast 1 pack of 100</t>
  </si>
  <si>
    <t>Elevate cream</t>
  </si>
  <si>
    <t>Femiplan pills cycle 28s</t>
  </si>
  <si>
    <t>Funbact cream</t>
  </si>
  <si>
    <t>Hydrocortisone cream</t>
  </si>
  <si>
    <t xml:space="preserve">Ketoconazole cream </t>
  </si>
  <si>
    <t>lofnac gel 30 mg</t>
  </si>
  <si>
    <t>Lydia fine pills 28s</t>
  </si>
  <si>
    <t>Meden cream</t>
  </si>
  <si>
    <t xml:space="preserve">nauma diclofenac gel </t>
  </si>
  <si>
    <t>Pharmasal cream</t>
  </si>
  <si>
    <t xml:space="preserve"> sanitary pads (Maternity pad 10s</t>
  </si>
  <si>
    <t xml:space="preserve"> surgical Masks blue 50s</t>
  </si>
  <si>
    <t>Masks black</t>
  </si>
  <si>
    <t>Kaluma strom tabs</t>
  </si>
  <si>
    <t>Ketoconazole  200mg tablets</t>
  </si>
  <si>
    <t xml:space="preserve">Lignocane 2% </t>
  </si>
  <si>
    <t>levofloxacin tabs 500mg</t>
  </si>
  <si>
    <t>mara Moja tabs</t>
  </si>
  <si>
    <t>Meloxicam 7.5mg</t>
  </si>
  <si>
    <t>Meloxicam 15 mg</t>
  </si>
  <si>
    <t>Plasil (metcos 10 mg tabs)</t>
  </si>
  <si>
    <t>Myospaz tabs</t>
  </si>
  <si>
    <t>Metronidazole 400mg (flazole)</t>
  </si>
  <si>
    <t xml:space="preserve">flagyl metronidazole 400mg </t>
  </si>
  <si>
    <t>Flaggy metronidazole 200mg</t>
  </si>
  <si>
    <t xml:space="preserve">mentho plus lip balm </t>
  </si>
  <si>
    <t>neurobion (nervogenta complex</t>
  </si>
  <si>
    <t>ORS satchets</t>
  </si>
  <si>
    <t xml:space="preserve">Omeprazole 20mg tabs </t>
  </si>
  <si>
    <t xml:space="preserve">ojen oz </t>
  </si>
  <si>
    <t xml:space="preserve">Piroxicam </t>
  </si>
  <si>
    <t>Prednisone 5mg</t>
  </si>
  <si>
    <t xml:space="preserve">Amoxiclav 228 syrup </t>
  </si>
  <si>
    <t>Amoxiclav 625 tablets</t>
  </si>
  <si>
    <t xml:space="preserve">Amoxiclav 325 tablets </t>
  </si>
  <si>
    <t>Cefuroxime syrup125mg</t>
  </si>
  <si>
    <t>Dacold susp 100ml</t>
  </si>
  <si>
    <t>Secnidazole syrup (dysen 30ml )</t>
  </si>
  <si>
    <t>Saline drops (nasal drops)</t>
  </si>
  <si>
    <t>Saline drops (adult nasal drops)</t>
  </si>
  <si>
    <t>Erythromycin syrup 100ml</t>
  </si>
  <si>
    <t>Eflaron plus syrup 100ml</t>
  </si>
  <si>
    <t>Flatameal syrup 200ml</t>
  </si>
  <si>
    <t>Fungistat cream</t>
  </si>
  <si>
    <t>Fevapyn  100ml (brufen syrup)</t>
  </si>
  <si>
    <t>Fevapyn  extra 100ml (brufen syrup)</t>
  </si>
  <si>
    <t>Gastrogel  gel 200ml</t>
  </si>
  <si>
    <t>Gastrogel  gel 100 ml</t>
  </si>
  <si>
    <t xml:space="preserve">Alcof  100ml </t>
  </si>
  <si>
    <t>Amoxyl 250 mg caps</t>
  </si>
  <si>
    <t xml:space="preserve">amoxyl 500mg caps </t>
  </si>
  <si>
    <t xml:space="preserve">Ampiclox syrup </t>
  </si>
  <si>
    <t xml:space="preserve">Ampiclox tablets 500mg </t>
  </si>
  <si>
    <t xml:space="preserve">Ascoril expectorant 100ml </t>
  </si>
  <si>
    <t xml:space="preserve">Ascoril expectorant 200ml </t>
  </si>
  <si>
    <t>Azithromycin syrup 15ml</t>
  </si>
  <si>
    <t xml:space="preserve">Alcof  60ml </t>
  </si>
  <si>
    <t>Becoatin syrup 200ml</t>
  </si>
  <si>
    <t>Becoatin tablets</t>
  </si>
  <si>
    <t>Bromsol expectorant 100ml</t>
  </si>
  <si>
    <t>Brustan  syrup 100ml</t>
  </si>
  <si>
    <t>Baby mol syrup 100ml</t>
  </si>
  <si>
    <t>Broxol syrup 200ml</t>
  </si>
  <si>
    <t>Cefalexin syrup</t>
  </si>
  <si>
    <t xml:space="preserve">Chest cof syrup 100ml </t>
  </si>
  <si>
    <t>Cophy drex exopectorant 100ml</t>
  </si>
  <si>
    <t>Cotrimaxole syrup 50ml  (septrin)</t>
  </si>
  <si>
    <t>Cefalexin caps 250mg</t>
  </si>
  <si>
    <t>Piriton chlopherinamine syrup (dawa)</t>
  </si>
  <si>
    <t>Cetrizine syrup (piricet)</t>
  </si>
  <si>
    <t>Cetrizine tabs</t>
  </si>
  <si>
    <t>Cophy drex exopectorant 60ml</t>
  </si>
  <si>
    <t>Cetrihist  expectorant 100ml</t>
  </si>
  <si>
    <t>Cetrihist  expectorant 60ml</t>
  </si>
  <si>
    <t>Cefixime syrup 60ml</t>
  </si>
  <si>
    <t>dextrose 10% 500ml ( D10)</t>
  </si>
  <si>
    <t>dextrose 5% 500ml (D5)</t>
  </si>
  <si>
    <t>dextrose 50% 50ml (D50)</t>
  </si>
  <si>
    <t>apc tablets</t>
  </si>
  <si>
    <t>Acetal Mr</t>
  </si>
  <si>
    <t>Azithromycin 500mg tablets</t>
  </si>
  <si>
    <t>Benzathine penycyline panadar</t>
  </si>
  <si>
    <t>branulars, blue, pink, yellow</t>
  </si>
  <si>
    <t>Cefixime 200mg</t>
  </si>
  <si>
    <t>Ceftriaxone injection</t>
  </si>
  <si>
    <t>Cefuroxime 250mg tabs</t>
  </si>
  <si>
    <t>Cefuroxime 500mg tabs</t>
  </si>
  <si>
    <t>Cefalexin caps 500mg</t>
  </si>
  <si>
    <t>Cypro b plus tablets</t>
  </si>
  <si>
    <t>Celestamine tablets</t>
  </si>
  <si>
    <t>Piriton tablets cpm</t>
  </si>
  <si>
    <t>Cotrimoxaxole CTX  480mg  (septrin)</t>
  </si>
  <si>
    <t>Cotrimaxole  960mg tabs (septrin)</t>
  </si>
  <si>
    <t xml:space="preserve">Cold caps </t>
  </si>
  <si>
    <t>Extraderm cream</t>
  </si>
  <si>
    <t>Fluconazole 150mg</t>
  </si>
  <si>
    <t>Flucloxacylin syrup (floxapen)</t>
  </si>
  <si>
    <t>Fluconazole 200mg</t>
  </si>
  <si>
    <t>griseofulvin125</t>
  </si>
  <si>
    <t>Griseofulvin 250</t>
  </si>
  <si>
    <t>Griseofulvin 500</t>
  </si>
  <si>
    <t>Hydrocortisone injection</t>
  </si>
  <si>
    <t>Buscopan Injection</t>
  </si>
  <si>
    <t>I.V Giving sets</t>
  </si>
  <si>
    <t>Brufen 200mg tabs</t>
  </si>
  <si>
    <t>Brufen 400mg tabs</t>
  </si>
  <si>
    <t>Kaluma chewable lozenges</t>
  </si>
  <si>
    <t>Postinor 2 original (p2)</t>
  </si>
  <si>
    <t>postinor 2 Generic (p2)</t>
  </si>
  <si>
    <t xml:space="preserve">Promethazine 25mg tablets </t>
  </si>
  <si>
    <t>Ranferon caps</t>
  </si>
  <si>
    <t>secnidazole 1g tablet</t>
  </si>
  <si>
    <t>sterile Surgical gloves</t>
  </si>
  <si>
    <t>Strepsils loz</t>
  </si>
  <si>
    <t>Siclofen Mr</t>
  </si>
  <si>
    <t>safety box</t>
  </si>
  <si>
    <t>Tinidazole 500mg tabs</t>
  </si>
  <si>
    <t>Montelacast 10mg (vitagel)</t>
  </si>
  <si>
    <t>Azithromycin 250mg tabs</t>
  </si>
  <si>
    <t>normal saline 500ml (NS)</t>
  </si>
  <si>
    <t>ABZ syrups</t>
  </si>
  <si>
    <t>Abz tablets</t>
  </si>
  <si>
    <t>sharp box safety box</t>
  </si>
  <si>
    <t>Ringers lactate (RL)</t>
  </si>
  <si>
    <t>PH-1010</t>
  </si>
  <si>
    <t>PH-1012</t>
  </si>
  <si>
    <t>PH-1136</t>
  </si>
  <si>
    <t>PH-1196</t>
  </si>
  <si>
    <t>PH-1197</t>
  </si>
  <si>
    <t>PH-1214</t>
  </si>
  <si>
    <t>PH-1245</t>
  </si>
  <si>
    <t>PH-1251</t>
  </si>
  <si>
    <t>PH-1258</t>
  </si>
  <si>
    <t>PH-1315</t>
  </si>
  <si>
    <t>PH-1376</t>
  </si>
  <si>
    <t>PH-1377</t>
  </si>
  <si>
    <t>PH-1378</t>
  </si>
  <si>
    <t>PH-1379</t>
  </si>
  <si>
    <t>PH-1380</t>
  </si>
  <si>
    <t>PH-1381</t>
  </si>
  <si>
    <t>PH-1382</t>
  </si>
  <si>
    <t>PH-1383</t>
  </si>
  <si>
    <t>PH-1384</t>
  </si>
  <si>
    <t>PH-1385</t>
  </si>
  <si>
    <t>PH-1386</t>
  </si>
  <si>
    <t>PH-1387</t>
  </si>
  <si>
    <t>PH-1388</t>
  </si>
  <si>
    <t>PH-1389</t>
  </si>
  <si>
    <t>PH-1390</t>
  </si>
  <si>
    <t>PH-1391</t>
  </si>
  <si>
    <t>PH-1392</t>
  </si>
  <si>
    <t>PH-1393</t>
  </si>
  <si>
    <t>PH-1394</t>
  </si>
  <si>
    <t>PH-1395</t>
  </si>
  <si>
    <t>PH-1396</t>
  </si>
  <si>
    <t>PH-1397</t>
  </si>
  <si>
    <t>PH-1398</t>
  </si>
  <si>
    <t>PH-1399</t>
  </si>
  <si>
    <t>PH-1400</t>
  </si>
  <si>
    <t>PH-1401</t>
  </si>
  <si>
    <t>PH-1402</t>
  </si>
  <si>
    <t>PH-1403</t>
  </si>
  <si>
    <t>PH-1404</t>
  </si>
  <si>
    <t>PH-1405</t>
  </si>
  <si>
    <t>PH-1406</t>
  </si>
  <si>
    <t>PH-1407</t>
  </si>
  <si>
    <t>PH-1408</t>
  </si>
  <si>
    <t>PH-1409</t>
  </si>
  <si>
    <t>PH-1410</t>
  </si>
  <si>
    <t>PH-1411</t>
  </si>
  <si>
    <t>PH-1412</t>
  </si>
  <si>
    <t>PH-1413</t>
  </si>
  <si>
    <t>PH-1414</t>
  </si>
  <si>
    <t>PH-1415</t>
  </si>
  <si>
    <t>PH-1416</t>
  </si>
  <si>
    <t>PH-1417</t>
  </si>
  <si>
    <t>PH-1418</t>
  </si>
  <si>
    <t>PH-1419</t>
  </si>
  <si>
    <t>PH-1420</t>
  </si>
  <si>
    <t>PH-1421</t>
  </si>
  <si>
    <t>PH-1422</t>
  </si>
  <si>
    <t>PH-1423</t>
  </si>
  <si>
    <t>PH-1424</t>
  </si>
  <si>
    <t>PH-1425</t>
  </si>
  <si>
    <t>PH-1426</t>
  </si>
  <si>
    <t>PH-1427</t>
  </si>
  <si>
    <t>PH-1428</t>
  </si>
  <si>
    <t>PH-1429</t>
  </si>
  <si>
    <t>PH-1430</t>
  </si>
  <si>
    <t>PH-1431</t>
  </si>
  <si>
    <t>PH-1432</t>
  </si>
  <si>
    <t>PH-1433</t>
  </si>
  <si>
    <t>PH-1434</t>
  </si>
  <si>
    <t>PH-1435</t>
  </si>
  <si>
    <t>PH-1436</t>
  </si>
  <si>
    <t>PH-1437</t>
  </si>
  <si>
    <t>PH-1438</t>
  </si>
  <si>
    <t>PH-1439</t>
  </si>
  <si>
    <t>PH-1440</t>
  </si>
  <si>
    <t>Acnesol cream (tretinoin)</t>
  </si>
  <si>
    <t>Clotrimazole pessaries 200g 3s</t>
  </si>
  <si>
    <t>Cotrimoxaxole CTX   syrup (septrin)</t>
  </si>
  <si>
    <t xml:space="preserve">Natoa Mebendazole syrup </t>
  </si>
  <si>
    <t>Povidone  iodine 500 ml</t>
  </si>
  <si>
    <t>Povidone iodine 100ml</t>
  </si>
  <si>
    <t>Povidone iodine  50ml</t>
  </si>
  <si>
    <t xml:space="preserve">ashtone </t>
  </si>
  <si>
    <t>Losartan h carditan H</t>
  </si>
  <si>
    <t xml:space="preserve">Ifas FERROLIC </t>
  </si>
  <si>
    <t xml:space="preserve">hydrogen peroxide </t>
  </si>
  <si>
    <t>Panadol extra</t>
  </si>
  <si>
    <t>Seven seas cod liver oil syrup</t>
  </si>
  <si>
    <t>Seven seas cod liver oil capsule</t>
  </si>
  <si>
    <t>sulphur cream</t>
  </si>
  <si>
    <t>relcer gel  100mls small</t>
  </si>
  <si>
    <t>Metronidazole flaggyl 100ml</t>
  </si>
  <si>
    <t>Carditan losartan plain</t>
  </si>
  <si>
    <t>Varinil amlodipine 10mg</t>
  </si>
  <si>
    <t>Amoxyl dispersible tablets  250 mg</t>
  </si>
  <si>
    <t>Flucloxacillin 250 (floxapen) capsules</t>
  </si>
  <si>
    <t>Flucloxacillin 500 (floxapen) capsules</t>
  </si>
  <si>
    <t>Ketoconazole 200mg tablets</t>
  </si>
  <si>
    <t>Nicof 60mls</t>
  </si>
  <si>
    <t>Cypon plus syrup</t>
  </si>
  <si>
    <t>cetrizine (rinacet) 60mls</t>
  </si>
  <si>
    <t>cetrizine (cetzan) 60mls</t>
  </si>
  <si>
    <t xml:space="preserve">cypro b plus syrup 200mls </t>
  </si>
  <si>
    <t>axe brand (chapa shoka liquid)</t>
  </si>
  <si>
    <t>Allugel syrup</t>
  </si>
  <si>
    <t>Ottorex</t>
  </si>
  <si>
    <t>Net Profit (KES)</t>
  </si>
  <si>
    <t>Gross COG (KES)</t>
  </si>
  <si>
    <t>27/06/2026</t>
  </si>
  <si>
    <t>Cprofloxacin eye drops</t>
  </si>
  <si>
    <t>omeprazole</t>
  </si>
  <si>
    <t xml:space="preserve">Azythromycin </t>
  </si>
  <si>
    <t>brufen tabs</t>
  </si>
  <si>
    <t>Unit COG</t>
  </si>
  <si>
    <t>mara moja</t>
  </si>
  <si>
    <t>lobak</t>
  </si>
  <si>
    <t>trust classic</t>
  </si>
  <si>
    <t>apc</t>
  </si>
  <si>
    <t>29/06/2026</t>
  </si>
  <si>
    <t>doxycycline</t>
  </si>
  <si>
    <t>amoxyl</t>
  </si>
  <si>
    <t>pcm</t>
  </si>
  <si>
    <t>paracetamol 500mg tablets (pcm)</t>
  </si>
  <si>
    <t>hydrocortisone cream</t>
  </si>
  <si>
    <t>piroxicam</t>
  </si>
  <si>
    <t>30/06/2026</t>
  </si>
  <si>
    <t>montelucast</t>
  </si>
  <si>
    <t>maramoja</t>
  </si>
  <si>
    <t>cold caps</t>
  </si>
  <si>
    <t>cetrizine</t>
  </si>
  <si>
    <t>floxapen</t>
  </si>
  <si>
    <t>eno</t>
  </si>
  <si>
    <t>kaluma lozzonges</t>
  </si>
  <si>
    <t>kaluma tablets</t>
  </si>
  <si>
    <t>prednisolone</t>
  </si>
  <si>
    <t>promethazine</t>
  </si>
  <si>
    <t>celestamine</t>
  </si>
  <si>
    <t>strepsils</t>
  </si>
  <si>
    <t xml:space="preserve">abz </t>
  </si>
  <si>
    <t xml:space="preserve">amoxiclav </t>
  </si>
  <si>
    <t>flugone</t>
  </si>
  <si>
    <t>esomeprazole 20mg</t>
  </si>
  <si>
    <t>Esomeprazole 20mg</t>
  </si>
  <si>
    <t>Esomeprazole 40mg</t>
  </si>
  <si>
    <t>cyprofloxacilin</t>
  </si>
  <si>
    <t>flaggyl</t>
  </si>
  <si>
    <t xml:space="preserve">zulu </t>
  </si>
  <si>
    <t>becoatin tabs</t>
  </si>
  <si>
    <t>fever pyn</t>
  </si>
  <si>
    <t>cetrihist cough syrup</t>
  </si>
  <si>
    <t>pdt test kit</t>
  </si>
  <si>
    <t>cypro B tabs</t>
  </si>
  <si>
    <t xml:space="preserve">epiderm cream </t>
  </si>
  <si>
    <t>dolact mr</t>
  </si>
  <si>
    <t>p2 original</t>
  </si>
  <si>
    <t>Natoa</t>
  </si>
  <si>
    <t>Natoa Mebendazole tablets</t>
  </si>
  <si>
    <t>bandage 4 inch</t>
  </si>
  <si>
    <t>diclofenac tablets</t>
  </si>
  <si>
    <t>Diclofenac tablets</t>
  </si>
  <si>
    <t>hiv test kit</t>
  </si>
  <si>
    <t>surgical spirit  500mls</t>
  </si>
  <si>
    <t>cotton wool 100g</t>
  </si>
  <si>
    <t>septrin 960</t>
  </si>
  <si>
    <t>p2 Generic</t>
  </si>
  <si>
    <t>femiplan pills</t>
  </si>
  <si>
    <t>thiocarb syrup</t>
  </si>
  <si>
    <t>seven seas omega 3</t>
  </si>
  <si>
    <t>panadol extra</t>
  </si>
  <si>
    <t>kofgone syrup 60mls</t>
  </si>
  <si>
    <t xml:space="preserve">kiss classic </t>
  </si>
  <si>
    <t>13/07/2026</t>
  </si>
  <si>
    <t>multivitamin tablets</t>
  </si>
  <si>
    <t>dexneo</t>
  </si>
  <si>
    <t>tretinoin acnesol</t>
  </si>
  <si>
    <t>menthoplus balm</t>
  </si>
  <si>
    <t>mask black</t>
  </si>
  <si>
    <t>imakoff syrup</t>
  </si>
  <si>
    <t>septrin syrup ctx</t>
  </si>
  <si>
    <t>zulu</t>
  </si>
  <si>
    <t>15/07/2026</t>
  </si>
  <si>
    <t>tranexamic acid tablets</t>
  </si>
  <si>
    <t>Tranexmaic acid tablets</t>
  </si>
  <si>
    <t>tridex syrup 60mls</t>
  </si>
  <si>
    <t>septrin ctx syrup</t>
  </si>
  <si>
    <t>lunahist cough syrup 60mls</t>
  </si>
  <si>
    <t>16/07/2026</t>
  </si>
  <si>
    <t>thiocarb syrup 100mls</t>
  </si>
  <si>
    <t>funbact cream</t>
  </si>
  <si>
    <t>eno tablets</t>
  </si>
  <si>
    <t>thiocarb syrup 60mls</t>
  </si>
  <si>
    <t>17/07/2026</t>
  </si>
  <si>
    <t>cefuroxime 500mg</t>
  </si>
  <si>
    <t>fluconazole 200mg</t>
  </si>
  <si>
    <t>hydrogen peroxide</t>
  </si>
  <si>
    <t>piriton tablets</t>
  </si>
  <si>
    <t>cotrimazole pessaries</t>
  </si>
  <si>
    <t>Pregnancy test kit pdt</t>
  </si>
  <si>
    <t>18/07/2026</t>
  </si>
  <si>
    <t>surgical spirit  50mls</t>
  </si>
  <si>
    <t>Surgical spirit 50ml</t>
  </si>
  <si>
    <t>Surgical spirit 100 ml</t>
  </si>
  <si>
    <t>Surgical spirit 500 ml</t>
  </si>
  <si>
    <t>elastoplast</t>
  </si>
  <si>
    <t>19/07/2026</t>
  </si>
  <si>
    <t>fungistat cream</t>
  </si>
  <si>
    <t>20/07/2026</t>
  </si>
  <si>
    <t>RBS monitoring</t>
  </si>
  <si>
    <t>cetrihist cough syrup 60mls</t>
  </si>
  <si>
    <t>diproson cream</t>
  </si>
  <si>
    <t>kaluma pain balm</t>
  </si>
  <si>
    <t>21/07/2026</t>
  </si>
  <si>
    <t>cefalexin syrup 125mg</t>
  </si>
  <si>
    <t>tridex syrup 100mls</t>
  </si>
  <si>
    <t xml:space="preserve">amoxyl syrup </t>
  </si>
  <si>
    <t>Amoxyl  syrup 100mls</t>
  </si>
  <si>
    <t>pcm  curamol syrup 50mls</t>
  </si>
  <si>
    <t xml:space="preserve">cetrizine syrup </t>
  </si>
  <si>
    <t xml:space="preserve">buscopan </t>
  </si>
  <si>
    <t>Buscopan tablets 5mg</t>
  </si>
  <si>
    <t xml:space="preserve">cetrizine </t>
  </si>
  <si>
    <t xml:space="preserve">griseofouvulin 250mg </t>
  </si>
  <si>
    <t>cetrizine syrup</t>
  </si>
  <si>
    <t>22/07/2026</t>
  </si>
  <si>
    <t>osmolax lactulose</t>
  </si>
  <si>
    <t>pritone</t>
  </si>
  <si>
    <t>cetrihist cough syrup 100mls</t>
  </si>
  <si>
    <t>amoxyl 250mg</t>
  </si>
  <si>
    <t>23/07/2026</t>
  </si>
  <si>
    <t>pharmasal cream</t>
  </si>
  <si>
    <t>septrin 6omls ctx</t>
  </si>
  <si>
    <t>ibugesic 60mls</t>
  </si>
  <si>
    <t>tryactin antacid</t>
  </si>
  <si>
    <t>24/07/2026</t>
  </si>
  <si>
    <t>piriton</t>
  </si>
  <si>
    <t>lunahist cough syrup 100mls</t>
  </si>
  <si>
    <t xml:space="preserve">indocine </t>
  </si>
  <si>
    <t>25/06/2026</t>
  </si>
  <si>
    <t>brufen</t>
  </si>
  <si>
    <t>lydia dailly pills</t>
  </si>
  <si>
    <t>26/7/2026</t>
  </si>
  <si>
    <t xml:space="preserve">gloves </t>
  </si>
  <si>
    <t>cotton wool 200g</t>
  </si>
  <si>
    <t xml:space="preserve">track mr </t>
  </si>
  <si>
    <t>29/07/2026</t>
  </si>
  <si>
    <t>eflaron plus syrup</t>
  </si>
  <si>
    <t>nystatin oral drops</t>
  </si>
  <si>
    <t>dexneo eye drops</t>
  </si>
  <si>
    <t>cyprob plus syrup</t>
  </si>
  <si>
    <t>30/072026</t>
  </si>
  <si>
    <t>mask blue</t>
  </si>
  <si>
    <t>saline drops</t>
  </si>
  <si>
    <t>abz</t>
  </si>
  <si>
    <t>paracetamol syrup curamol</t>
  </si>
  <si>
    <t xml:space="preserve">multivitamin syrup </t>
  </si>
  <si>
    <t>31/07/2026</t>
  </si>
  <si>
    <t>secnidazole</t>
  </si>
  <si>
    <t>Ventolin salbutamol</t>
  </si>
  <si>
    <t>ventolin tablets</t>
  </si>
  <si>
    <t>July total sales</t>
  </si>
  <si>
    <t xml:space="preserve">AUGUST </t>
  </si>
  <si>
    <t>july rent</t>
  </si>
  <si>
    <t>July wifi bill</t>
  </si>
  <si>
    <t>July electricity bill</t>
  </si>
  <si>
    <t>july salary payments</t>
  </si>
  <si>
    <t xml:space="preserve">Restocking amount </t>
  </si>
  <si>
    <t>July net profit</t>
  </si>
  <si>
    <t>pcm  curamol syrup 100mls</t>
  </si>
  <si>
    <t>JULY total monthly earnings</t>
  </si>
  <si>
    <t>RSTOCKING OUT OF STOCK ITEMS</t>
  </si>
  <si>
    <t>14/07/2026</t>
  </si>
  <si>
    <t>30/07/2026</t>
  </si>
  <si>
    <t xml:space="preserve">HOUSE RENT </t>
  </si>
  <si>
    <t>Expenditure  ID</t>
  </si>
  <si>
    <t>Supplier Amount</t>
  </si>
  <si>
    <t>cod liver omega 3 tabs</t>
  </si>
  <si>
    <t>ketoconazole cream</t>
  </si>
  <si>
    <t xml:space="preserve">cold caps </t>
  </si>
  <si>
    <t>diclofenac</t>
  </si>
  <si>
    <t>amoxil 100mls</t>
  </si>
  <si>
    <t>brufen 60mls</t>
  </si>
  <si>
    <t>tridex 60mls</t>
  </si>
  <si>
    <t>amoxil tabs</t>
  </si>
  <si>
    <t>triactin antacid 100mls</t>
  </si>
  <si>
    <t>mefenamic acid</t>
  </si>
  <si>
    <t>azithromycin</t>
  </si>
  <si>
    <t>ceftriaxone inj</t>
  </si>
  <si>
    <t>amoxiclav 625</t>
  </si>
  <si>
    <t xml:space="preserve">cefixime 200mg </t>
  </si>
  <si>
    <t>cophydrex coff syrup</t>
  </si>
  <si>
    <t>declomol</t>
  </si>
  <si>
    <t>Diclomol</t>
  </si>
  <si>
    <t>loperamide</t>
  </si>
  <si>
    <t>good morning cough syrup</t>
  </si>
  <si>
    <t>Restocking of drugs that were OS</t>
  </si>
  <si>
    <t>RESTOCKING OUT OF STOCK ITEMS</t>
  </si>
  <si>
    <t>House Shopping</t>
  </si>
  <si>
    <t>29/07/2025</t>
  </si>
  <si>
    <t>13/07/2025</t>
  </si>
  <si>
    <t>28/07/2025</t>
  </si>
  <si>
    <t>TOTAL july restocking Expenditure</t>
  </si>
  <si>
    <t>actal</t>
  </si>
  <si>
    <t>genta eye drops</t>
  </si>
  <si>
    <t>Tranexamic acid tablets</t>
  </si>
  <si>
    <t>mediven</t>
  </si>
  <si>
    <t xml:space="preserve">griseofouvulin 500mg </t>
  </si>
  <si>
    <t>clozole b</t>
  </si>
  <si>
    <t>depo  injection</t>
  </si>
  <si>
    <t>Lydia depo contraceptive injection</t>
  </si>
  <si>
    <t>diclofenac tabs</t>
  </si>
  <si>
    <t xml:space="preserve">meloxicam </t>
  </si>
  <si>
    <t xml:space="preserve">brufen </t>
  </si>
  <si>
    <t>amoxil syrup 100mls</t>
  </si>
  <si>
    <t>pcm  curamol syrup 60mls</t>
  </si>
  <si>
    <t xml:space="preserve">seclofen mr </t>
  </si>
  <si>
    <t>13/09/2026</t>
  </si>
  <si>
    <t>kaluma</t>
  </si>
  <si>
    <t>14/08/2026</t>
  </si>
  <si>
    <t>15/08/2026</t>
  </si>
  <si>
    <t>August total restocking cost</t>
  </si>
  <si>
    <t>August shop rent</t>
  </si>
  <si>
    <t>August electricity bill</t>
  </si>
  <si>
    <t>August salary payments</t>
  </si>
  <si>
    <t xml:space="preserve">August </t>
  </si>
  <si>
    <t xml:space="preserve">Money OUT/Expenditure </t>
  </si>
  <si>
    <t>Money IN/profits</t>
  </si>
  <si>
    <t>Varinil amlodipine 5mg</t>
  </si>
  <si>
    <t>Ascard 75mg</t>
  </si>
  <si>
    <t>Panadol Advance</t>
  </si>
  <si>
    <t>Piroxicam</t>
  </si>
  <si>
    <t>Zulu</t>
  </si>
  <si>
    <t>Bisacodyl</t>
  </si>
  <si>
    <t>dexneo (dexomet N eye drops)</t>
  </si>
  <si>
    <t>doxicycline</t>
  </si>
  <si>
    <t>tricohist 100mls</t>
  </si>
  <si>
    <t xml:space="preserve">eno tabs </t>
  </si>
  <si>
    <t>omega 3</t>
  </si>
  <si>
    <t>16/08/2026</t>
  </si>
  <si>
    <t>esomeprazole 40mg</t>
  </si>
  <si>
    <t>natoa</t>
  </si>
  <si>
    <t>lunahist 60mls</t>
  </si>
  <si>
    <t>Surgical scarpel blade g23</t>
  </si>
  <si>
    <t>17/08/2026</t>
  </si>
  <si>
    <t>scarpel</t>
  </si>
  <si>
    <t>esomeprazole</t>
  </si>
  <si>
    <t>benzanthine penicilin inj</t>
  </si>
  <si>
    <t>18/08/2026</t>
  </si>
  <si>
    <t xml:space="preserve">promethazine </t>
  </si>
  <si>
    <t>kiss</t>
  </si>
  <si>
    <t xml:space="preserve">mask </t>
  </si>
  <si>
    <t>tinidazole</t>
  </si>
  <si>
    <t>lydia pills</t>
  </si>
  <si>
    <t>19/08/2026</t>
  </si>
  <si>
    <t>20/08/2026</t>
  </si>
  <si>
    <t xml:space="preserve">nystatin </t>
  </si>
  <si>
    <t>21/08/2026</t>
  </si>
  <si>
    <t>cypro b tabs</t>
  </si>
  <si>
    <t>fluconazole</t>
  </si>
  <si>
    <t>24/08/2026</t>
  </si>
  <si>
    <t>printing and setting direction poster</t>
  </si>
  <si>
    <t xml:space="preserve">refilling water </t>
  </si>
  <si>
    <t>Date purchase</t>
  </si>
  <si>
    <t>Item</t>
  </si>
  <si>
    <t>AUGUST EXPENDITURE</t>
  </si>
  <si>
    <t>25/08/2026</t>
  </si>
  <si>
    <t>mouthwash</t>
  </si>
  <si>
    <t>cetihist</t>
  </si>
  <si>
    <t>myospaz</t>
  </si>
  <si>
    <t>fevapyn</t>
  </si>
  <si>
    <t>hydrocort</t>
  </si>
  <si>
    <t>26/08/2026</t>
  </si>
  <si>
    <t xml:space="preserve">esomeprazole </t>
  </si>
  <si>
    <t>27/08/2026</t>
  </si>
  <si>
    <t>ephadriine saline drops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</si>
</sst>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8"/>
      <color rgb="FF1F4E78"/>
      <name val="Segoe UI"/>
    </font>
    <font>
      <i/>
      <sz val="9"/>
      <color rgb="FF595959"/>
      <name val="Segoe UI"/>
    </font>
    <font>
      <b/>
      <sz val="10"/>
      <color rgb="FF595959"/>
      <name val="Segoe UI"/>
    </font>
    <font>
      <b/>
      <sz val="13"/>
      <color rgb="FF1F4E78"/>
      <name val="Segoe UI"/>
    </font>
    <font>
      <b/>
      <sz val="11"/>
      <color rgb="FFFFFFFF"/>
      <name val="Segoe UI"/>
    </font>
    <font>
      <sz val="10"/>
      <color rgb="FF333333"/>
      <name val="Segoe UI"/>
    </font>
    <font>
      <b/>
      <sz val="10"/>
      <color rgb="FF333333"/>
      <name val="Segoe UI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Segoe UI"/>
      <family val="2"/>
    </font>
    <font>
      <b/>
      <sz val="11"/>
      <color rgb="FFFFFFFF"/>
      <name val="Segoe UI"/>
      <family val="2"/>
    </font>
    <font>
      <b/>
      <sz val="11"/>
      <color rgb="FFFF0000"/>
      <name val="Calibri"/>
      <family val="2"/>
      <scheme val="minor"/>
    </font>
    <font>
      <b/>
      <sz val="10"/>
      <color rgb="FF333333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E9EDF4"/>
        <bgColor rgb="FFE9EDF4"/>
      </patternFill>
    </fill>
    <fill>
      <patternFill patternType="solid">
        <fgColor rgb="FF1F4E78"/>
        <bgColor rgb="FF1F4E78"/>
      </patternFill>
    </fill>
    <fill>
      <patternFill patternType="solid">
        <fgColor rgb="FFF7F9FB"/>
        <bgColor rgb="FFF7F9FB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F4E78"/>
      </top>
      <bottom style="medium">
        <color rgb="FF1F4E78"/>
      </bottom>
      <diagonal/>
    </border>
    <border>
      <left/>
      <right/>
      <top style="thin">
        <color rgb="FFD9D9D9"/>
      </top>
      <bottom style="double">
        <color rgb="FF1F4E78"/>
      </bottom>
      <diagonal/>
    </border>
    <border>
      <left style="thin">
        <color rgb="FFD9D9D9"/>
      </left>
      <right style="thin">
        <color rgb="FFD9D9D9"/>
      </right>
      <top style="medium">
        <color rgb="FF1F4E78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3" borderId="2" xfId="0" applyFont="1" applyFill="1" applyBorder="1" applyAlignment="1">
      <alignment horizontal="center"/>
    </xf>
    <xf numFmtId="0" fontId="6" fillId="4" borderId="1" xfId="0" applyFont="1" applyFill="1" applyBorder="1"/>
    <xf numFmtId="0" fontId="6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3" xfId="0" applyFont="1" applyBorder="1"/>
    <xf numFmtId="0" fontId="6" fillId="0" borderId="5" xfId="0" applyFont="1" applyBorder="1"/>
    <xf numFmtId="0" fontId="5" fillId="3" borderId="4" xfId="0" applyFont="1" applyFill="1" applyBorder="1" applyAlignment="1">
      <alignment horizontal="center" vertical="center" wrapText="1"/>
    </xf>
    <xf numFmtId="0" fontId="6" fillId="4" borderId="6" xfId="0" applyFont="1" applyFill="1" applyBorder="1"/>
    <xf numFmtId="0" fontId="6" fillId="0" borderId="6" xfId="0" applyFont="1" applyBorder="1"/>
    <xf numFmtId="0" fontId="6" fillId="4" borderId="0" xfId="0" applyFont="1" applyFill="1"/>
    <xf numFmtId="0" fontId="6" fillId="0" borderId="6" xfId="0" applyFont="1" applyBorder="1" applyAlignment="1">
      <alignment horizontal="center"/>
    </xf>
    <xf numFmtId="0" fontId="9" fillId="0" borderId="0" xfId="0" applyFont="1"/>
    <xf numFmtId="14" fontId="0" fillId="0" borderId="0" xfId="0" applyNumberFormat="1"/>
    <xf numFmtId="0" fontId="10" fillId="4" borderId="1" xfId="0" applyFont="1" applyFill="1" applyBorder="1"/>
    <xf numFmtId="0" fontId="10" fillId="0" borderId="6" xfId="0" applyFont="1" applyBorder="1"/>
    <xf numFmtId="0" fontId="11" fillId="3" borderId="2" xfId="0" applyFont="1" applyFill="1" applyBorder="1" applyAlignment="1">
      <alignment horizontal="center" vertical="center" wrapText="1"/>
    </xf>
    <xf numFmtId="0" fontId="10" fillId="0" borderId="1" xfId="0" applyFont="1" applyBorder="1"/>
    <xf numFmtId="3" fontId="0" fillId="0" borderId="0" xfId="0" applyNumberFormat="1"/>
    <xf numFmtId="0" fontId="0" fillId="5" borderId="0" xfId="0" applyFill="1"/>
    <xf numFmtId="0" fontId="12" fillId="5" borderId="0" xfId="0" applyFont="1" applyFill="1"/>
    <xf numFmtId="0" fontId="10" fillId="5" borderId="6" xfId="0" applyFont="1" applyFill="1" applyBorder="1"/>
    <xf numFmtId="0" fontId="6" fillId="5" borderId="1" xfId="0" applyFont="1" applyFill="1" applyBorder="1"/>
    <xf numFmtId="0" fontId="0" fillId="6" borderId="0" xfId="0" applyFill="1"/>
    <xf numFmtId="0" fontId="13" fillId="7" borderId="6" xfId="0" applyFont="1" applyFill="1" applyBorder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0" fillId="0" borderId="6" xfId="0" applyFont="1" applyFill="1" applyBorder="1"/>
    <xf numFmtId="0" fontId="10" fillId="0" borderId="0" xfId="0" applyFon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36"/>
  <sheetViews>
    <sheetView topLeftCell="B1" workbookViewId="0">
      <selection activeCell="B1" sqref="B1"/>
    </sheetView>
  </sheetViews>
  <sheetFormatPr defaultRowHeight="14.5" x14ac:dyDescent="0.35"/>
  <cols>
    <col min="1" max="1" width="3" customWidth="1"/>
    <col min="2" max="2" width="55" customWidth="1"/>
    <col min="3" max="3" width="69" customWidth="1"/>
    <col min="4" max="4" width="111" customWidth="1"/>
    <col min="5" max="5" width="38" customWidth="1"/>
    <col min="6" max="7" width="13" customWidth="1"/>
    <col min="8" max="8" width="51" customWidth="1"/>
    <col min="9" max="10" width="13" customWidth="1"/>
    <col min="11" max="11" width="52" customWidth="1"/>
    <col min="12" max="13" width="13" customWidth="1"/>
  </cols>
  <sheetData>
    <row r="2" spans="2:13" ht="26" x14ac:dyDescent="0.65">
      <c r="B2" s="1" t="s">
        <v>0</v>
      </c>
    </row>
    <row r="3" spans="2:13" ht="15" x14ac:dyDescent="0.4">
      <c r="B3" s="2" t="s">
        <v>1</v>
      </c>
    </row>
    <row r="5" spans="2:13" ht="16" x14ac:dyDescent="0.45">
      <c r="B5" s="33" t="s">
        <v>2</v>
      </c>
      <c r="C5" s="34"/>
      <c r="D5" s="34"/>
      <c r="E5" s="33" t="s">
        <v>3</v>
      </c>
      <c r="F5" s="34"/>
      <c r="G5" s="34"/>
      <c r="H5" s="33" t="s">
        <v>4</v>
      </c>
      <c r="I5" s="34"/>
      <c r="J5" s="34"/>
      <c r="K5" s="33" t="s">
        <v>5</v>
      </c>
      <c r="L5" s="34"/>
      <c r="M5" s="34"/>
    </row>
    <row r="6" spans="2:13" x14ac:dyDescent="0.35">
      <c r="B6" s="35">
        <f>'Master Inventory'!H445</f>
        <v>129478</v>
      </c>
      <c r="C6" s="34"/>
      <c r="D6" s="34"/>
      <c r="E6" s="35">
        <f>COUNTA('Master Inventory'!D5:D300)</f>
        <v>295</v>
      </c>
      <c r="F6" s="34"/>
      <c r="G6" s="34"/>
      <c r="H6" s="35">
        <f>COUNTIF('Expiry Register'!J5:J300, "*EXPIRED*")</f>
        <v>0</v>
      </c>
      <c r="I6" s="34"/>
      <c r="J6" s="34"/>
      <c r="K6" s="35">
        <f>COUNTIF('Master Inventory'!N5:N300, "*REORDER*")</f>
        <v>0</v>
      </c>
      <c r="L6" s="34"/>
      <c r="M6" s="34"/>
    </row>
    <row r="7" spans="2:13" x14ac:dyDescent="0.35"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</row>
    <row r="9" spans="2:13" ht="20" x14ac:dyDescent="0.55000000000000004">
      <c r="B9" s="3" t="s">
        <v>6</v>
      </c>
    </row>
    <row r="11" spans="2:13" ht="16.5" x14ac:dyDescent="0.45">
      <c r="B11" s="4" t="s">
        <v>7</v>
      </c>
      <c r="C11" s="4" t="s">
        <v>8</v>
      </c>
      <c r="D11" s="4" t="s">
        <v>9</v>
      </c>
    </row>
    <row r="12" spans="2:13" ht="16" x14ac:dyDescent="0.45">
      <c r="B12" s="5" t="s">
        <v>10</v>
      </c>
      <c r="C12" s="6">
        <f>COUNTIF('Master Inventory'!C5:C444, "Analgesic Injection")</f>
        <v>5</v>
      </c>
      <c r="D12" s="7">
        <f>COUNTIFS('Master Inventory'!C5:C300, "Analgesic Injection", 'Master Inventory'!N5:N300, "*REORDER*")</f>
        <v>0</v>
      </c>
    </row>
    <row r="13" spans="2:13" ht="16" x14ac:dyDescent="0.45">
      <c r="B13" s="8" t="s">
        <v>11</v>
      </c>
      <c r="C13" s="9">
        <f>COUNTIF('Master Inventory'!C5:C444, "Analgesic Syrup")</f>
        <v>15</v>
      </c>
      <c r="D13" s="10">
        <f>COUNTIFS('Master Inventory'!C5:C300, "Analgesic Syrup", 'Master Inventory'!N5:N300, "*REORDER*")</f>
        <v>0</v>
      </c>
    </row>
    <row r="14" spans="2:13" ht="16" x14ac:dyDescent="0.45">
      <c r="B14" s="5" t="s">
        <v>12</v>
      </c>
      <c r="C14" s="6">
        <f>COUNTIF('Master Inventory'!C5:C444, "Antacids")</f>
        <v>20</v>
      </c>
      <c r="D14" s="7">
        <f>COUNTIFS('Master Inventory'!C5:C300, "Antacids", 'Master Inventory'!N5:N300, "*REORDER*")</f>
        <v>0</v>
      </c>
    </row>
    <row r="15" spans="2:13" ht="16" x14ac:dyDescent="0.45">
      <c r="B15" s="8" t="s">
        <v>13</v>
      </c>
      <c r="C15" s="9">
        <f>COUNTIF('Master Inventory'!C5:C444, "Anti Amoeba")</f>
        <v>12</v>
      </c>
      <c r="D15" s="10">
        <f>COUNTIFS('Master Inventory'!C5:C300, "Anti Amoeba", 'Master Inventory'!N5:N300, "*REORDER*")</f>
        <v>0</v>
      </c>
    </row>
    <row r="16" spans="2:13" ht="16" x14ac:dyDescent="0.45">
      <c r="B16" s="5" t="s">
        <v>14</v>
      </c>
      <c r="C16" s="6">
        <f>COUNTIF('Master Inventory'!C5:C444, "Anti Hypertensives")</f>
        <v>14</v>
      </c>
      <c r="D16" s="7">
        <f>COUNTIFS('Master Inventory'!C5:C300, "Anti Hypertensives", 'Master Inventory'!N5:N300, "*REORDER*")</f>
        <v>0</v>
      </c>
    </row>
    <row r="17" spans="2:4" ht="16" x14ac:dyDescent="0.45">
      <c r="B17" s="8" t="s">
        <v>15</v>
      </c>
      <c r="C17" s="9">
        <f>COUNTIF('Master Inventory'!C5:C444,"Antibiotics")</f>
        <v>41</v>
      </c>
      <c r="D17" s="10">
        <f>COUNTIFS('Master Inventory'!C5:C300, "Antibiotics", 'Master Inventory'!N5:N300, "*REORDER*")</f>
        <v>0</v>
      </c>
    </row>
    <row r="18" spans="2:4" ht="16" x14ac:dyDescent="0.45">
      <c r="B18" s="5" t="s">
        <v>16</v>
      </c>
      <c r="C18" s="6">
        <f>COUNTIF('Master Inventory'!C5:C444,"Antiemetics")</f>
        <v>4</v>
      </c>
      <c r="D18" s="7">
        <f>COUNTIFS('Master Inventory'!C5:C300, "Antiemetics", 'Master Inventory'!N5:N300, "*REORDER*")</f>
        <v>0</v>
      </c>
    </row>
    <row r="19" spans="2:4" ht="16" x14ac:dyDescent="0.45">
      <c r="B19" s="8" t="s">
        <v>17</v>
      </c>
      <c r="C19" s="9">
        <f>COUNTIF('Master Inventory'!C5:C444, "Antifungals")</f>
        <v>7</v>
      </c>
      <c r="D19" s="10">
        <f>COUNTIFS('Master Inventory'!C5:C300, "Antifungals", 'Master Inventory'!N5:N300, "*REORDER*")</f>
        <v>0</v>
      </c>
    </row>
    <row r="20" spans="2:4" ht="16" x14ac:dyDescent="0.45">
      <c r="B20" s="5" t="s">
        <v>18</v>
      </c>
      <c r="C20" s="6">
        <f>COUNTIF('Master Inventory'!C5:C444, "Antihistamines")</f>
        <v>22</v>
      </c>
      <c r="D20" s="7">
        <f>COUNTIFS('Master Inventory'!C5:C300, "Antihistamines", 'Master Inventory'!N5:N300, "*REORDER*")</f>
        <v>0</v>
      </c>
    </row>
    <row r="21" spans="2:4" ht="16" x14ac:dyDescent="0.45">
      <c r="B21" s="8" t="s">
        <v>19</v>
      </c>
      <c r="C21" s="9">
        <f>COUNTIF('Master Inventory'!C5:C444, "Antitussives")</f>
        <v>37</v>
      </c>
      <c r="D21" s="10">
        <f>COUNTIFS('Master Inventory'!C5:C300, "Antitussives", 'Master Inventory'!N5:N300, "*REORDER*")</f>
        <v>0</v>
      </c>
    </row>
    <row r="22" spans="2:4" ht="16" x14ac:dyDescent="0.45">
      <c r="B22" s="5" t="s">
        <v>20</v>
      </c>
      <c r="C22" s="6">
        <f>COUNTIF('Master Inventory'!C5:C444, "Appetite &amp; Vitamins")</f>
        <v>24</v>
      </c>
      <c r="D22" s="7">
        <f>COUNTIFS('Master Inventory'!C5:C300, "Appetite &amp; Vitamins", 'Master Inventory'!N5:N300, "*REORDER*")</f>
        <v>0</v>
      </c>
    </row>
    <row r="23" spans="2:4" ht="16" x14ac:dyDescent="0.45">
      <c r="B23" s="8" t="s">
        <v>21</v>
      </c>
      <c r="C23" s="9">
        <f>COUNTIF('Master Inventory'!C5:C444, "Appetite Stimulants")</f>
        <v>0</v>
      </c>
      <c r="D23" s="10">
        <f>COUNTIFS('Master Inventory'!C5:C300, "Appetite Stimulants", 'Master Inventory'!N5:N300, "*REORDER*")</f>
        <v>0</v>
      </c>
    </row>
    <row r="24" spans="2:4" ht="16" x14ac:dyDescent="0.45">
      <c r="B24" s="5" t="s">
        <v>22</v>
      </c>
      <c r="C24" s="6">
        <f>COUNTIF('Master Inventory'!C5:C444, "Blood Builders")</f>
        <v>4</v>
      </c>
      <c r="D24" s="7">
        <f>COUNTIFS('Master Inventory'!C5:C300, "Blood Builders", 'Master Inventory'!N5:N300, "*REORDER*")</f>
        <v>0</v>
      </c>
    </row>
    <row r="25" spans="2:4" ht="16" x14ac:dyDescent="0.45">
      <c r="B25" s="8" t="s">
        <v>23</v>
      </c>
      <c r="C25" s="9">
        <f>COUNTIF('Master Inventory'!C5:C444, "Creams &amp; Topicals")</f>
        <v>32</v>
      </c>
      <c r="D25" s="10">
        <f>COUNTIFS('Master Inventory'!C5:C300, "Creams &amp; Topicals", 'Master Inventory'!N5:N300, "*REORDER*")</f>
        <v>0</v>
      </c>
    </row>
    <row r="26" spans="2:4" ht="16" x14ac:dyDescent="0.45">
      <c r="B26" s="5" t="s">
        <v>24</v>
      </c>
      <c r="C26" s="6">
        <f>COUNTIF('Master Inventory'!C5:C444, "DM Drugs")</f>
        <v>8</v>
      </c>
      <c r="D26" s="7">
        <f>COUNTIFS('Master Inventory'!C5:C300, "DM Drugs", 'Master Inventory'!N5:N300, "*REORDER*")</f>
        <v>0</v>
      </c>
    </row>
    <row r="27" spans="2:4" ht="16" x14ac:dyDescent="0.45">
      <c r="B27" s="8" t="s">
        <v>25</v>
      </c>
      <c r="C27" s="9">
        <f>COUNTIF('Master Inventory'!C5:C444, "Dewormers &amp; Gastro")</f>
        <v>25</v>
      </c>
      <c r="D27" s="10">
        <f>COUNTIFS('Master Inventory'!C5:C300, "Dewormers &amp; Gastro", 'Master Inventory'!N5:N300, "*REORDER*")</f>
        <v>0</v>
      </c>
    </row>
    <row r="28" spans="2:4" ht="16" x14ac:dyDescent="0.45">
      <c r="B28" s="5" t="s">
        <v>26</v>
      </c>
      <c r="C28" s="6">
        <f>COUNTIF('Master Inventory'!C5:C444, "Diagnostic Gadgets")</f>
        <v>5</v>
      </c>
      <c r="D28" s="7">
        <f>COUNTIFS('Master Inventory'!C5:C300, "Diagnostic Gadgets", 'Master Inventory'!N5:N300, "*REORDER*")</f>
        <v>0</v>
      </c>
    </row>
    <row r="29" spans="2:4" ht="16" x14ac:dyDescent="0.45">
      <c r="B29" s="8" t="s">
        <v>27</v>
      </c>
      <c r="C29" s="9">
        <f>COUNTIF('Master Inventory'!C5:C444, "Family Planning")</f>
        <v>16</v>
      </c>
      <c r="D29" s="10">
        <f>COUNTIFS('Master Inventory'!C5:C300, "Family Planning", 'Master Inventory'!N5:N300, "*REORDER*")</f>
        <v>0</v>
      </c>
    </row>
    <row r="30" spans="2:4" ht="16" x14ac:dyDescent="0.45">
      <c r="B30" s="5" t="s">
        <v>28</v>
      </c>
      <c r="C30" s="6">
        <f>COUNTIF('Master Inventory'!C5:C444, "Fluids")</f>
        <v>5</v>
      </c>
      <c r="D30" s="7">
        <f>COUNTIFS('Master Inventory'!C5:C300, "Fluids", 'Master Inventory'!N5:N300, "*REORDER*")</f>
        <v>0</v>
      </c>
    </row>
    <row r="31" spans="2:4" ht="16" x14ac:dyDescent="0.45">
      <c r="B31" s="8" t="s">
        <v>29</v>
      </c>
      <c r="C31" s="9">
        <f>COUNTIF('Master Inventory'!C5:C444, "Injectables")</f>
        <v>13</v>
      </c>
      <c r="D31" s="10">
        <f>COUNTIFS('Master Inventory'!C5:C300, "Injectables", 'Master Inventory'!N5:N300, "*REORDER*")</f>
        <v>0</v>
      </c>
    </row>
    <row r="32" spans="2:4" ht="16" x14ac:dyDescent="0.45">
      <c r="B32" s="5" t="s">
        <v>30</v>
      </c>
      <c r="C32" s="6">
        <f>COUNTIF('Master Inventory'!C5:C444,"Lab Materials")</f>
        <v>13</v>
      </c>
      <c r="D32" s="7">
        <f>COUNTIFS('Master Inventory'!C5:C300, "Lab Materials", 'Master Inventory'!N5:N300, "*REORDER*")</f>
        <v>0</v>
      </c>
    </row>
    <row r="33" spans="2:4" ht="16" x14ac:dyDescent="0.45">
      <c r="B33" s="8" t="s">
        <v>31</v>
      </c>
      <c r="C33" s="9">
        <f>COUNTIF('Master Inventory'!C5:C300, "Ophthalmic &amp; Otic")</f>
        <v>13</v>
      </c>
      <c r="D33" s="10">
        <f>COUNTIFS('Master Inventory'!C5:C300, "Ophthalmic &amp; Otic", 'Master Inventory'!N5:N300, "*REORDER*")</f>
        <v>0</v>
      </c>
    </row>
    <row r="34" spans="2:4" ht="16" x14ac:dyDescent="0.45">
      <c r="B34" s="5" t="s">
        <v>32</v>
      </c>
      <c r="C34" s="6">
        <f>COUNTIF('Master Inventory'!C5:C444, "Supplies &amp; Consumables")</f>
        <v>55</v>
      </c>
      <c r="D34" s="7">
        <f>COUNTIFS('Master Inventory'!C5:C300, "Supplies &amp; Consumables", 'Master Inventory'!N5:N300, "*REORDER*")</f>
        <v>0</v>
      </c>
    </row>
    <row r="35" spans="2:4" ht="16" x14ac:dyDescent="0.45">
      <c r="B35" s="8" t="s">
        <v>33</v>
      </c>
      <c r="C35" s="9">
        <f>COUNTIF('Master Inventory'!C5:C444, "Supplies &amp; Pharmasal spray")</f>
        <v>0</v>
      </c>
      <c r="D35" s="10">
        <f>COUNTIFS('Master Inventory'!C5:C300, "Supplies &amp; Pharmasal spray", 'Master Inventory'!N5:N300, "*REORDER*")</f>
        <v>0</v>
      </c>
    </row>
    <row r="36" spans="2:4" ht="16" x14ac:dyDescent="0.45">
      <c r="B36" s="5" t="s">
        <v>34</v>
      </c>
      <c r="C36" s="6">
        <f>COUNTIF('Master Inventory'!C5:C444, "Tablets Analgesic")</f>
        <v>33</v>
      </c>
      <c r="D36" s="7">
        <f>COUNTIFS('Master Inventory'!C5:C300, "Tablets Analgesic", 'Master Inventory'!N5:N300, "*REORDER*")</f>
        <v>0</v>
      </c>
    </row>
  </sheetData>
  <mergeCells count="8">
    <mergeCell ref="B5:D5"/>
    <mergeCell ref="B6:D7"/>
    <mergeCell ref="E5:G5"/>
    <mergeCell ref="K5:M5"/>
    <mergeCell ref="H5:J5"/>
    <mergeCell ref="K6:M7"/>
    <mergeCell ref="E6:G7"/>
    <mergeCell ref="H6:J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446"/>
  <sheetViews>
    <sheetView tabSelected="1" topLeftCell="C4" workbookViewId="0">
      <selection activeCell="J5" sqref="J5"/>
    </sheetView>
  </sheetViews>
  <sheetFormatPr defaultRowHeight="14.5" x14ac:dyDescent="0.35"/>
  <cols>
    <col min="1" max="1" width="3" customWidth="1"/>
    <col min="2" max="2" width="41" customWidth="1"/>
    <col min="3" max="3" width="29" customWidth="1"/>
    <col min="4" max="4" width="33" customWidth="1"/>
    <col min="5" max="5" width="22" customWidth="1"/>
    <col min="6" max="6" width="21" customWidth="1"/>
    <col min="7" max="7" width="22" customWidth="1"/>
    <col min="8" max="8" width="20" customWidth="1"/>
    <col min="9" max="9" width="13" customWidth="1"/>
    <col min="10" max="10" width="15" customWidth="1"/>
    <col min="11" max="11" width="14" customWidth="1"/>
    <col min="12" max="12" width="18" customWidth="1"/>
    <col min="13" max="13" width="44" customWidth="1"/>
  </cols>
  <sheetData>
    <row r="2" spans="2:13" ht="25" customHeight="1" x14ac:dyDescent="0.65">
      <c r="B2" s="1" t="s">
        <v>35</v>
      </c>
    </row>
    <row r="3" spans="2:13" ht="15" thickBot="1" x14ac:dyDescent="0.4"/>
    <row r="4" spans="2:13" ht="26" customHeight="1" thickBot="1" x14ac:dyDescent="0.4">
      <c r="B4" s="11" t="s">
        <v>36</v>
      </c>
      <c r="C4" s="11" t="s">
        <v>37</v>
      </c>
      <c r="D4" s="15" t="s">
        <v>38</v>
      </c>
      <c r="E4" s="11" t="s">
        <v>39</v>
      </c>
      <c r="F4" s="11" t="s">
        <v>40</v>
      </c>
      <c r="G4" s="11" t="s">
        <v>41</v>
      </c>
      <c r="H4" s="11" t="s">
        <v>42</v>
      </c>
      <c r="I4" s="11" t="s">
        <v>43</v>
      </c>
      <c r="J4" s="11" t="s">
        <v>652</v>
      </c>
      <c r="K4" s="11" t="s">
        <v>45</v>
      </c>
      <c r="L4" s="11" t="s">
        <v>46</v>
      </c>
      <c r="M4" s="11" t="s">
        <v>47</v>
      </c>
    </row>
    <row r="5" spans="2:13" ht="16" x14ac:dyDescent="0.45">
      <c r="B5" s="9" t="s">
        <v>48</v>
      </c>
      <c r="C5" s="8" t="s">
        <v>15</v>
      </c>
      <c r="D5" s="14" t="s">
        <v>748</v>
      </c>
      <c r="E5" s="9">
        <v>100</v>
      </c>
      <c r="F5" s="8">
        <v>170</v>
      </c>
      <c r="G5" s="8">
        <v>10</v>
      </c>
      <c r="H5" s="8">
        <f t="shared" ref="H5:H68" si="0">E5*G5</f>
        <v>1000</v>
      </c>
      <c r="I5" s="8"/>
      <c r="J5" s="8"/>
      <c r="K5" s="8"/>
      <c r="L5" s="9">
        <v>5</v>
      </c>
      <c r="M5" s="9" t="str">
        <f>IF(E5&lt;=L5, "⚠️ REORDER", "✅ STABLE")</f>
        <v>✅ STABLE</v>
      </c>
    </row>
    <row r="6" spans="2:13" ht="16" x14ac:dyDescent="0.45">
      <c r="B6" s="9" t="s">
        <v>49</v>
      </c>
      <c r="C6" s="8" t="s">
        <v>15</v>
      </c>
      <c r="D6" s="5" t="s">
        <v>795</v>
      </c>
      <c r="E6" s="6">
        <v>5</v>
      </c>
      <c r="F6" s="5">
        <v>75</v>
      </c>
      <c r="G6" s="5">
        <v>150</v>
      </c>
      <c r="H6" s="8">
        <f t="shared" si="0"/>
        <v>750</v>
      </c>
      <c r="I6" s="5"/>
      <c r="J6" s="5"/>
      <c r="K6" s="5"/>
      <c r="L6" s="6">
        <v>1</v>
      </c>
      <c r="M6" s="6" t="str">
        <f>IF(E6&lt;=L6, "⚠️ REORDER", "✅ STABLE")</f>
        <v>✅ STABLE</v>
      </c>
    </row>
    <row r="7" spans="2:13" ht="16" x14ac:dyDescent="0.45">
      <c r="B7" s="9" t="s">
        <v>50</v>
      </c>
      <c r="C7" s="8" t="s">
        <v>15</v>
      </c>
      <c r="D7" s="8" t="s">
        <v>750</v>
      </c>
      <c r="E7" s="9">
        <v>5</v>
      </c>
      <c r="F7" s="8">
        <v>70</v>
      </c>
      <c r="G7" s="8">
        <v>150</v>
      </c>
      <c r="H7" s="8">
        <f t="shared" si="0"/>
        <v>750</v>
      </c>
      <c r="I7" s="8"/>
      <c r="J7" s="8"/>
      <c r="K7" s="8"/>
      <c r="L7" s="9">
        <v>1</v>
      </c>
      <c r="M7" s="9" t="str">
        <f>IF(E7&lt;=L7, "⚠️ REORDER", "✅ STABLE")</f>
        <v>✅ STABLE</v>
      </c>
    </row>
    <row r="8" spans="2:13" ht="16" x14ac:dyDescent="0.45">
      <c r="B8" s="9" t="s">
        <v>51</v>
      </c>
      <c r="C8" s="8" t="s">
        <v>15</v>
      </c>
      <c r="D8" s="5" t="s">
        <v>762</v>
      </c>
      <c r="E8" s="6">
        <v>5</v>
      </c>
      <c r="F8" s="5">
        <v>65</v>
      </c>
      <c r="G8" s="5">
        <v>300</v>
      </c>
      <c r="H8" s="8">
        <f t="shared" si="0"/>
        <v>1500</v>
      </c>
      <c r="I8" s="5"/>
      <c r="J8" s="5"/>
      <c r="K8" s="5"/>
      <c r="L8" s="6">
        <v>1</v>
      </c>
      <c r="M8" s="6" t="str">
        <f>IF(E8&lt;=L8, "⚠️ REORDER", "✅ STABLE")</f>
        <v>✅ STABLE</v>
      </c>
    </row>
    <row r="9" spans="2:13" ht="16" x14ac:dyDescent="0.45">
      <c r="B9" s="9" t="s">
        <v>52</v>
      </c>
      <c r="C9" s="8" t="s">
        <v>15</v>
      </c>
      <c r="D9" s="8" t="s">
        <v>773</v>
      </c>
      <c r="E9" s="9">
        <v>2</v>
      </c>
      <c r="F9" s="8">
        <v>100</v>
      </c>
      <c r="G9" s="8">
        <v>300</v>
      </c>
      <c r="H9" s="8">
        <f t="shared" si="0"/>
        <v>600</v>
      </c>
      <c r="I9" s="8"/>
      <c r="J9" s="8"/>
      <c r="K9" s="8"/>
      <c r="L9" s="6">
        <v>1</v>
      </c>
      <c r="M9" s="9" t="str">
        <f>IF(E9&lt;=L9, "⚠️ REORDER", "✅ STABLE")</f>
        <v>✅ STABLE</v>
      </c>
    </row>
    <row r="10" spans="2:13" ht="16" x14ac:dyDescent="0.45">
      <c r="B10" s="9" t="s">
        <v>823</v>
      </c>
      <c r="C10" s="5" t="s">
        <v>32</v>
      </c>
      <c r="D10" s="5" t="s">
        <v>908</v>
      </c>
      <c r="E10" s="6">
        <v>1</v>
      </c>
      <c r="F10" s="5">
        <v>25</v>
      </c>
      <c r="G10" s="5">
        <v>50</v>
      </c>
      <c r="H10" s="8">
        <f t="shared" si="0"/>
        <v>50</v>
      </c>
      <c r="I10" s="5"/>
      <c r="J10" s="5"/>
      <c r="K10" s="5"/>
      <c r="L10" s="6">
        <v>1</v>
      </c>
      <c r="M10" s="9" t="str">
        <f t="shared" ref="M10" si="1">IF(E10&lt;=L10, "⚠️ REORDER", "✅ STABLE")</f>
        <v>⚠️ REORDER</v>
      </c>
    </row>
    <row r="11" spans="2:13" ht="16" x14ac:dyDescent="0.45">
      <c r="B11" s="9" t="s">
        <v>53</v>
      </c>
      <c r="C11" s="8" t="s">
        <v>15</v>
      </c>
      <c r="D11" s="8" t="s">
        <v>754</v>
      </c>
      <c r="E11" s="9">
        <v>2</v>
      </c>
      <c r="F11" s="8">
        <v>50</v>
      </c>
      <c r="G11" s="8">
        <v>100</v>
      </c>
      <c r="H11" s="8">
        <f t="shared" si="0"/>
        <v>200</v>
      </c>
      <c r="I11" s="8"/>
      <c r="J11" s="8"/>
      <c r="K11" s="8"/>
      <c r="L11" s="9">
        <v>2</v>
      </c>
      <c r="M11" s="9" t="str">
        <f>IF(E11&lt;=L11, "⚠️ REORDER", "✅ STABLE")</f>
        <v>⚠️ REORDER</v>
      </c>
    </row>
    <row r="12" spans="2:13" ht="16" x14ac:dyDescent="0.45">
      <c r="B12" s="9" t="s">
        <v>824</v>
      </c>
      <c r="C12" s="5" t="s">
        <v>20</v>
      </c>
      <c r="D12" s="5" t="s">
        <v>911</v>
      </c>
      <c r="E12" s="6">
        <v>10</v>
      </c>
      <c r="F12" s="5">
        <v>27</v>
      </c>
      <c r="G12" s="5">
        <v>40</v>
      </c>
      <c r="H12" s="8">
        <f t="shared" si="0"/>
        <v>400</v>
      </c>
      <c r="I12" s="5"/>
      <c r="J12" s="5"/>
      <c r="K12" s="5"/>
      <c r="L12" s="6">
        <v>1</v>
      </c>
      <c r="M12" s="9" t="str">
        <f t="shared" ref="M12" si="2">IF(E12&lt;=L12, "⚠️ REORDER", "✅ STABLE")</f>
        <v>✅ STABLE</v>
      </c>
    </row>
    <row r="13" spans="2:13" ht="16" x14ac:dyDescent="0.45">
      <c r="B13" s="9" t="s">
        <v>54</v>
      </c>
      <c r="C13" s="8" t="s">
        <v>15</v>
      </c>
      <c r="D13" s="8" t="s">
        <v>739</v>
      </c>
      <c r="E13" s="9">
        <v>4</v>
      </c>
      <c r="F13" s="8">
        <v>80</v>
      </c>
      <c r="G13" s="8">
        <v>150</v>
      </c>
      <c r="H13" s="8">
        <f t="shared" si="0"/>
        <v>600</v>
      </c>
      <c r="I13" s="8"/>
      <c r="J13" s="8"/>
      <c r="K13" s="8"/>
      <c r="L13" s="9">
        <v>1</v>
      </c>
      <c r="M13" s="9" t="str">
        <f t="shared" ref="M13:M44" si="3">IF(E13&lt;=L13, "⚠️ REORDER", "✅ STABLE")</f>
        <v>✅ STABLE</v>
      </c>
    </row>
    <row r="14" spans="2:13" ht="16" x14ac:dyDescent="0.45">
      <c r="B14" s="9" t="s">
        <v>55</v>
      </c>
      <c r="C14" s="8" t="s">
        <v>15</v>
      </c>
      <c r="D14" s="5" t="s">
        <v>784</v>
      </c>
      <c r="E14" s="6">
        <v>2</v>
      </c>
      <c r="F14" s="5">
        <v>155</v>
      </c>
      <c r="G14" s="5">
        <v>300</v>
      </c>
      <c r="H14" s="8">
        <f t="shared" si="0"/>
        <v>600</v>
      </c>
      <c r="I14" s="5"/>
      <c r="J14" s="5"/>
      <c r="K14" s="5"/>
      <c r="L14" s="6">
        <v>0</v>
      </c>
      <c r="M14" s="6" t="str">
        <f t="shared" si="3"/>
        <v>✅ STABLE</v>
      </c>
    </row>
    <row r="15" spans="2:13" ht="16" x14ac:dyDescent="0.45">
      <c r="B15" s="9" t="s">
        <v>56</v>
      </c>
      <c r="C15" s="8" t="s">
        <v>15</v>
      </c>
      <c r="D15" s="8" t="s">
        <v>749</v>
      </c>
      <c r="E15" s="9">
        <v>40</v>
      </c>
      <c r="F15" s="8">
        <v>300</v>
      </c>
      <c r="G15" s="8">
        <v>5</v>
      </c>
      <c r="H15" s="8">
        <f t="shared" si="0"/>
        <v>200</v>
      </c>
      <c r="I15" s="8"/>
      <c r="J15" s="8"/>
      <c r="K15" s="8"/>
      <c r="L15" s="9">
        <v>5</v>
      </c>
      <c r="M15" s="9" t="str">
        <f t="shared" si="3"/>
        <v>✅ STABLE</v>
      </c>
    </row>
    <row r="16" spans="2:13" ht="16" x14ac:dyDescent="0.45">
      <c r="B16" s="9" t="s">
        <v>57</v>
      </c>
      <c r="C16" s="8" t="s">
        <v>15</v>
      </c>
      <c r="D16" s="22" t="s">
        <v>1038</v>
      </c>
      <c r="E16" s="6">
        <v>5</v>
      </c>
      <c r="F16" s="5">
        <v>50</v>
      </c>
      <c r="G16" s="5">
        <v>100</v>
      </c>
      <c r="H16" s="8">
        <f t="shared" si="0"/>
        <v>500</v>
      </c>
      <c r="I16" s="5"/>
      <c r="J16" s="5"/>
      <c r="K16" s="5"/>
      <c r="L16" s="9">
        <v>1</v>
      </c>
      <c r="M16" s="6" t="str">
        <f t="shared" si="3"/>
        <v>✅ STABLE</v>
      </c>
    </row>
    <row r="17" spans="2:13" ht="16" x14ac:dyDescent="0.45">
      <c r="B17" s="9" t="s">
        <v>58</v>
      </c>
      <c r="C17" s="8" t="s">
        <v>15</v>
      </c>
      <c r="D17" s="8" t="s">
        <v>917</v>
      </c>
      <c r="E17" s="9">
        <v>50</v>
      </c>
      <c r="F17" s="8">
        <v>3</v>
      </c>
      <c r="G17" s="5">
        <v>5</v>
      </c>
      <c r="H17" s="8">
        <f t="shared" si="0"/>
        <v>250</v>
      </c>
      <c r="I17" s="8"/>
      <c r="J17" s="8"/>
      <c r="K17" s="8"/>
      <c r="L17" s="9">
        <v>1</v>
      </c>
      <c r="M17" s="9" t="str">
        <f t="shared" si="3"/>
        <v>✅ STABLE</v>
      </c>
    </row>
    <row r="18" spans="2:13" ht="16" x14ac:dyDescent="0.45">
      <c r="B18" s="9" t="s">
        <v>59</v>
      </c>
      <c r="C18" s="8" t="s">
        <v>15</v>
      </c>
      <c r="D18" s="5" t="s">
        <v>779</v>
      </c>
      <c r="E18" s="6">
        <v>2</v>
      </c>
      <c r="F18" s="5">
        <v>50</v>
      </c>
      <c r="G18" s="5">
        <v>100</v>
      </c>
      <c r="H18" s="8">
        <f t="shared" si="0"/>
        <v>200</v>
      </c>
      <c r="I18" s="5"/>
      <c r="J18" s="5"/>
      <c r="K18" s="5"/>
      <c r="L18" s="6">
        <v>2</v>
      </c>
      <c r="M18" s="6" t="str">
        <f t="shared" si="3"/>
        <v>⚠️ REORDER</v>
      </c>
    </row>
    <row r="19" spans="2:13" ht="16" x14ac:dyDescent="0.45">
      <c r="B19" s="9" t="s">
        <v>60</v>
      </c>
      <c r="C19" s="8" t="s">
        <v>15</v>
      </c>
      <c r="D19" s="8" t="s">
        <v>817</v>
      </c>
      <c r="E19" s="9">
        <v>0</v>
      </c>
      <c r="F19" s="8">
        <v>140</v>
      </c>
      <c r="G19" s="8">
        <v>200</v>
      </c>
      <c r="H19" s="8">
        <f t="shared" si="0"/>
        <v>0</v>
      </c>
      <c r="I19" s="8"/>
      <c r="J19" s="8"/>
      <c r="K19" s="8"/>
      <c r="L19" s="9">
        <v>1</v>
      </c>
      <c r="M19" s="9" t="str">
        <f t="shared" si="3"/>
        <v>⚠️ REORDER</v>
      </c>
    </row>
    <row r="20" spans="2:13" ht="16" x14ac:dyDescent="0.45">
      <c r="B20" s="9" t="s">
        <v>61</v>
      </c>
      <c r="C20" s="8" t="s">
        <v>15</v>
      </c>
      <c r="D20" s="5" t="s">
        <v>62</v>
      </c>
      <c r="E20" s="6">
        <v>1</v>
      </c>
      <c r="F20" s="5">
        <v>150</v>
      </c>
      <c r="G20" s="5">
        <v>300</v>
      </c>
      <c r="H20" s="8">
        <f t="shared" si="0"/>
        <v>300</v>
      </c>
      <c r="I20" s="5"/>
      <c r="J20" s="5"/>
      <c r="K20" s="5"/>
      <c r="L20" s="6">
        <v>1</v>
      </c>
      <c r="M20" s="6" t="str">
        <f t="shared" si="3"/>
        <v>⚠️ REORDER</v>
      </c>
    </row>
    <row r="21" spans="2:13" ht="16" x14ac:dyDescent="0.45">
      <c r="B21" s="9" t="s">
        <v>63</v>
      </c>
      <c r="C21" s="8" t="s">
        <v>15</v>
      </c>
      <c r="D21" s="8" t="s">
        <v>715</v>
      </c>
      <c r="E21" s="9">
        <v>5</v>
      </c>
      <c r="F21" s="8">
        <v>45</v>
      </c>
      <c r="G21" s="8">
        <v>300</v>
      </c>
      <c r="H21" s="8">
        <f t="shared" si="0"/>
        <v>1500</v>
      </c>
      <c r="I21" s="8"/>
      <c r="J21" s="8"/>
      <c r="K21" s="8"/>
      <c r="L21" s="6">
        <v>1</v>
      </c>
      <c r="M21" s="9" t="str">
        <f t="shared" si="3"/>
        <v>✅ STABLE</v>
      </c>
    </row>
    <row r="22" spans="2:13" ht="16" x14ac:dyDescent="0.45">
      <c r="B22" s="9" t="s">
        <v>64</v>
      </c>
      <c r="C22" s="8" t="s">
        <v>15</v>
      </c>
      <c r="D22" s="5" t="s">
        <v>919</v>
      </c>
      <c r="E22" s="6">
        <v>40</v>
      </c>
      <c r="F22" s="5">
        <v>670</v>
      </c>
      <c r="G22" s="5">
        <v>15</v>
      </c>
      <c r="H22" s="8">
        <f t="shared" si="0"/>
        <v>600</v>
      </c>
      <c r="I22" s="5"/>
      <c r="J22" s="5"/>
      <c r="K22" s="5"/>
      <c r="L22" s="6">
        <v>5</v>
      </c>
      <c r="M22" s="6" t="str">
        <f t="shared" si="3"/>
        <v>✅ STABLE</v>
      </c>
    </row>
    <row r="23" spans="2:13" ht="16" x14ac:dyDescent="0.45">
      <c r="B23" s="9" t="s">
        <v>65</v>
      </c>
      <c r="C23" s="8" t="s">
        <v>15</v>
      </c>
      <c r="D23" s="8" t="s">
        <v>918</v>
      </c>
      <c r="E23" s="9">
        <v>60</v>
      </c>
      <c r="F23" s="8">
        <v>345</v>
      </c>
      <c r="G23" s="8">
        <v>10</v>
      </c>
      <c r="H23" s="8">
        <f t="shared" si="0"/>
        <v>600</v>
      </c>
      <c r="I23" s="8"/>
      <c r="J23" s="8"/>
      <c r="K23" s="8"/>
      <c r="L23" s="9">
        <v>5</v>
      </c>
      <c r="M23" s="9" t="str">
        <f t="shared" si="3"/>
        <v>✅ STABLE</v>
      </c>
    </row>
    <row r="24" spans="2:13" ht="16" x14ac:dyDescent="0.45">
      <c r="B24" s="9" t="s">
        <v>66</v>
      </c>
      <c r="C24" s="8" t="s">
        <v>15</v>
      </c>
      <c r="D24" s="5" t="s">
        <v>795</v>
      </c>
      <c r="E24" s="6">
        <v>3</v>
      </c>
      <c r="F24" s="5">
        <v>125</v>
      </c>
      <c r="G24" s="5">
        <v>200</v>
      </c>
      <c r="H24" s="8">
        <f t="shared" si="0"/>
        <v>600</v>
      </c>
      <c r="I24" s="5"/>
      <c r="J24" s="5"/>
      <c r="K24" s="5"/>
      <c r="L24" s="9">
        <v>1</v>
      </c>
      <c r="M24" s="6" t="str">
        <f t="shared" si="3"/>
        <v>✅ STABLE</v>
      </c>
    </row>
    <row r="25" spans="2:13" ht="16" x14ac:dyDescent="0.45">
      <c r="B25" s="9" t="s">
        <v>67</v>
      </c>
      <c r="C25" s="8" t="s">
        <v>15</v>
      </c>
      <c r="D25" s="8" t="s">
        <v>68</v>
      </c>
      <c r="E25" s="9">
        <v>30</v>
      </c>
      <c r="F25" s="8">
        <v>210</v>
      </c>
      <c r="G25" s="8">
        <v>10</v>
      </c>
      <c r="H25" s="8">
        <f t="shared" si="0"/>
        <v>300</v>
      </c>
      <c r="I25" s="8"/>
      <c r="J25" s="8"/>
      <c r="K25" s="8"/>
      <c r="L25" s="9">
        <v>5</v>
      </c>
      <c r="M25" s="9" t="str">
        <f t="shared" si="3"/>
        <v>✅ STABLE</v>
      </c>
    </row>
    <row r="26" spans="2:13" ht="16" x14ac:dyDescent="0.45">
      <c r="B26" s="9" t="s">
        <v>69</v>
      </c>
      <c r="C26" s="8" t="s">
        <v>15</v>
      </c>
      <c r="D26" s="5" t="s">
        <v>70</v>
      </c>
      <c r="E26" s="6">
        <v>100</v>
      </c>
      <c r="F26" s="5">
        <v>290</v>
      </c>
      <c r="G26" s="5">
        <v>10</v>
      </c>
      <c r="H26" s="8">
        <f t="shared" si="0"/>
        <v>1000</v>
      </c>
      <c r="I26" s="5"/>
      <c r="J26" s="5"/>
      <c r="K26" s="5"/>
      <c r="L26" s="6">
        <v>5</v>
      </c>
      <c r="M26" s="6" t="str">
        <f t="shared" si="3"/>
        <v>✅ STABLE</v>
      </c>
    </row>
    <row r="27" spans="2:13" ht="16" x14ac:dyDescent="0.45">
      <c r="B27" s="9" t="s">
        <v>71</v>
      </c>
      <c r="C27" s="8" t="s">
        <v>15</v>
      </c>
      <c r="D27" s="8" t="s">
        <v>72</v>
      </c>
      <c r="E27" s="9">
        <v>100</v>
      </c>
      <c r="F27" s="8">
        <v>260</v>
      </c>
      <c r="G27" s="8">
        <v>10</v>
      </c>
      <c r="H27" s="8">
        <f t="shared" si="0"/>
        <v>1000</v>
      </c>
      <c r="I27" s="8"/>
      <c r="J27" s="8"/>
      <c r="K27" s="8"/>
      <c r="L27" s="9">
        <v>5</v>
      </c>
      <c r="M27" s="9" t="str">
        <f t="shared" si="3"/>
        <v>✅ STABLE</v>
      </c>
    </row>
    <row r="28" spans="2:13" ht="16" x14ac:dyDescent="0.45">
      <c r="B28" s="9" t="s">
        <v>73</v>
      </c>
      <c r="C28" s="8" t="s">
        <v>15</v>
      </c>
      <c r="D28" s="5" t="s">
        <v>722</v>
      </c>
      <c r="E28" s="6">
        <v>100</v>
      </c>
      <c r="F28" s="5">
        <v>125</v>
      </c>
      <c r="G28" s="5">
        <v>6</v>
      </c>
      <c r="H28" s="8">
        <f t="shared" si="0"/>
        <v>600</v>
      </c>
      <c r="I28" s="5"/>
      <c r="J28" s="5"/>
      <c r="K28" s="5"/>
      <c r="L28" s="6">
        <v>5</v>
      </c>
      <c r="M28" s="6" t="str">
        <f t="shared" si="3"/>
        <v>✅ STABLE</v>
      </c>
    </row>
    <row r="29" spans="2:13" ht="16" x14ac:dyDescent="0.45">
      <c r="B29" s="9" t="s">
        <v>74</v>
      </c>
      <c r="C29" s="8" t="s">
        <v>18</v>
      </c>
      <c r="D29" s="8" t="s">
        <v>924</v>
      </c>
      <c r="E29" s="9">
        <v>13</v>
      </c>
      <c r="F29" s="8">
        <v>25</v>
      </c>
      <c r="G29" s="5">
        <v>50</v>
      </c>
      <c r="H29" s="8">
        <f t="shared" si="0"/>
        <v>650</v>
      </c>
      <c r="I29" s="8"/>
      <c r="J29" s="8"/>
      <c r="K29" s="8"/>
      <c r="L29" s="9">
        <v>1</v>
      </c>
      <c r="M29" s="9" t="str">
        <f t="shared" si="3"/>
        <v>✅ STABLE</v>
      </c>
    </row>
    <row r="30" spans="2:13" ht="16" x14ac:dyDescent="0.45">
      <c r="B30" s="9" t="s">
        <v>75</v>
      </c>
      <c r="C30" s="8" t="s">
        <v>13</v>
      </c>
      <c r="D30" s="5" t="s">
        <v>810</v>
      </c>
      <c r="E30" s="6">
        <v>6</v>
      </c>
      <c r="F30" s="5">
        <v>28</v>
      </c>
      <c r="G30" s="5">
        <v>50</v>
      </c>
      <c r="H30" s="8">
        <f t="shared" si="0"/>
        <v>300</v>
      </c>
      <c r="I30" s="5"/>
      <c r="J30" s="5"/>
      <c r="K30" s="5"/>
      <c r="L30" s="6">
        <v>5</v>
      </c>
      <c r="M30" s="6" t="str">
        <f t="shared" si="3"/>
        <v>✅ STABLE</v>
      </c>
    </row>
    <row r="31" spans="2:13" ht="16" x14ac:dyDescent="0.45">
      <c r="B31" s="9" t="s">
        <v>76</v>
      </c>
      <c r="C31" s="8" t="s">
        <v>15</v>
      </c>
      <c r="D31" s="8" t="s">
        <v>815</v>
      </c>
      <c r="E31" s="9">
        <v>30</v>
      </c>
      <c r="F31" s="8">
        <v>10</v>
      </c>
      <c r="G31" s="8">
        <v>30</v>
      </c>
      <c r="H31" s="8">
        <f t="shared" si="0"/>
        <v>900</v>
      </c>
      <c r="I31" s="8"/>
      <c r="J31" s="8"/>
      <c r="K31" s="8"/>
      <c r="L31" s="9">
        <v>5</v>
      </c>
      <c r="M31" s="9" t="str">
        <f t="shared" si="3"/>
        <v>✅ STABLE</v>
      </c>
    </row>
    <row r="32" spans="2:13" ht="16" x14ac:dyDescent="0.45">
      <c r="B32" s="9" t="s">
        <v>77</v>
      </c>
      <c r="C32" s="8" t="s">
        <v>15</v>
      </c>
      <c r="D32" s="5" t="s">
        <v>78</v>
      </c>
      <c r="E32" s="6">
        <v>1</v>
      </c>
      <c r="F32" s="5">
        <v>50</v>
      </c>
      <c r="G32" s="5">
        <v>100</v>
      </c>
      <c r="H32" s="8">
        <f t="shared" si="0"/>
        <v>100</v>
      </c>
      <c r="I32" s="5"/>
      <c r="J32" s="5"/>
      <c r="K32" s="5"/>
      <c r="L32" s="9">
        <v>1</v>
      </c>
      <c r="M32" s="6" t="str">
        <f t="shared" si="3"/>
        <v>⚠️ REORDER</v>
      </c>
    </row>
    <row r="33" spans="2:13" ht="16" x14ac:dyDescent="0.45">
      <c r="B33" s="9" t="s">
        <v>79</v>
      </c>
      <c r="C33" s="8" t="s">
        <v>15</v>
      </c>
      <c r="D33" s="8" t="s">
        <v>731</v>
      </c>
      <c r="E33" s="9">
        <v>2</v>
      </c>
      <c r="F33" s="8">
        <v>110</v>
      </c>
      <c r="G33" s="8">
        <v>300</v>
      </c>
      <c r="H33" s="8">
        <f t="shared" si="0"/>
        <v>600</v>
      </c>
      <c r="I33" s="8"/>
      <c r="J33" s="8"/>
      <c r="K33" s="8"/>
      <c r="L33" s="9">
        <v>1</v>
      </c>
      <c r="M33" s="9" t="str">
        <f t="shared" si="3"/>
        <v>✅ STABLE</v>
      </c>
    </row>
    <row r="34" spans="2:13" ht="16" x14ac:dyDescent="0.45">
      <c r="B34" s="9" t="s">
        <v>80</v>
      </c>
      <c r="C34" s="8" t="s">
        <v>15</v>
      </c>
      <c r="D34" s="5" t="s">
        <v>790</v>
      </c>
      <c r="E34" s="6">
        <v>100</v>
      </c>
      <c r="F34" s="5">
        <v>155</v>
      </c>
      <c r="G34" s="5">
        <v>10</v>
      </c>
      <c r="H34" s="8">
        <f t="shared" si="0"/>
        <v>1000</v>
      </c>
      <c r="I34" s="5"/>
      <c r="J34" s="5"/>
      <c r="K34" s="5"/>
      <c r="L34" s="6">
        <v>5</v>
      </c>
      <c r="M34" s="6" t="str">
        <f t="shared" si="3"/>
        <v>✅ STABLE</v>
      </c>
    </row>
    <row r="35" spans="2:13" ht="16" x14ac:dyDescent="0.45">
      <c r="B35" s="9" t="s">
        <v>81</v>
      </c>
      <c r="C35" s="8" t="s">
        <v>15</v>
      </c>
      <c r="D35" s="8" t="s">
        <v>765</v>
      </c>
      <c r="E35" s="9">
        <v>3</v>
      </c>
      <c r="F35" s="8">
        <v>35</v>
      </c>
      <c r="G35" s="5">
        <v>100</v>
      </c>
      <c r="H35" s="8">
        <f t="shared" si="0"/>
        <v>300</v>
      </c>
      <c r="I35" s="8"/>
      <c r="J35" s="8"/>
      <c r="K35" s="8"/>
      <c r="L35" s="9">
        <v>1</v>
      </c>
      <c r="M35" s="9" t="str">
        <f t="shared" si="3"/>
        <v>✅ STABLE</v>
      </c>
    </row>
    <row r="36" spans="2:13" ht="16" x14ac:dyDescent="0.45">
      <c r="B36" s="9" t="s">
        <v>82</v>
      </c>
      <c r="C36" s="8" t="s">
        <v>15</v>
      </c>
      <c r="D36" s="5" t="s">
        <v>797</v>
      </c>
      <c r="E36" s="6">
        <v>50</v>
      </c>
      <c r="F36" s="5">
        <v>4</v>
      </c>
      <c r="G36" s="5">
        <v>10</v>
      </c>
      <c r="H36" s="8">
        <f t="shared" si="0"/>
        <v>500</v>
      </c>
      <c r="I36" s="5"/>
      <c r="J36" s="5"/>
      <c r="K36" s="5"/>
      <c r="L36" s="6">
        <v>5</v>
      </c>
      <c r="M36" s="6" t="str">
        <f t="shared" si="3"/>
        <v>✅ STABLE</v>
      </c>
    </row>
    <row r="37" spans="2:13" ht="16" x14ac:dyDescent="0.45">
      <c r="B37" s="9" t="s">
        <v>83</v>
      </c>
      <c r="C37" s="8" t="s">
        <v>15</v>
      </c>
      <c r="D37" s="8" t="s">
        <v>713</v>
      </c>
      <c r="E37" s="9">
        <v>40</v>
      </c>
      <c r="F37" s="8">
        <v>385</v>
      </c>
      <c r="G37" s="8">
        <v>10</v>
      </c>
      <c r="H37" s="8">
        <f t="shared" si="0"/>
        <v>400</v>
      </c>
      <c r="I37" s="8"/>
      <c r="J37" s="8"/>
      <c r="K37" s="8"/>
      <c r="L37" s="9">
        <v>10</v>
      </c>
      <c r="M37" s="9" t="str">
        <f t="shared" si="3"/>
        <v>✅ STABLE</v>
      </c>
    </row>
    <row r="38" spans="2:13" ht="16" x14ac:dyDescent="0.45">
      <c r="B38" s="9" t="s">
        <v>84</v>
      </c>
      <c r="C38" s="5" t="s">
        <v>11</v>
      </c>
      <c r="D38" s="5" t="s">
        <v>85</v>
      </c>
      <c r="E38" s="6">
        <v>2</v>
      </c>
      <c r="F38" s="5">
        <v>115</v>
      </c>
      <c r="G38" s="5">
        <v>200</v>
      </c>
      <c r="H38" s="8">
        <f t="shared" si="0"/>
        <v>400</v>
      </c>
      <c r="I38" s="5"/>
      <c r="J38" s="5"/>
      <c r="K38" s="5"/>
      <c r="L38" s="9">
        <v>1</v>
      </c>
      <c r="M38" s="6" t="str">
        <f t="shared" si="3"/>
        <v>✅ STABLE</v>
      </c>
    </row>
    <row r="39" spans="2:13" ht="16" x14ac:dyDescent="0.45">
      <c r="B39" s="9" t="s">
        <v>86</v>
      </c>
      <c r="C39" s="8" t="s">
        <v>11</v>
      </c>
      <c r="D39" s="8" t="s">
        <v>87</v>
      </c>
      <c r="E39" s="9">
        <v>1</v>
      </c>
      <c r="F39" s="8">
        <v>85</v>
      </c>
      <c r="G39" s="8">
        <v>150</v>
      </c>
      <c r="H39" s="8">
        <f t="shared" si="0"/>
        <v>150</v>
      </c>
      <c r="I39" s="8"/>
      <c r="J39" s="8"/>
      <c r="K39" s="8"/>
      <c r="L39" s="9">
        <v>1</v>
      </c>
      <c r="M39" s="9" t="str">
        <f t="shared" si="3"/>
        <v>⚠️ REORDER</v>
      </c>
    </row>
    <row r="40" spans="2:13" ht="16" x14ac:dyDescent="0.45">
      <c r="B40" s="9" t="s">
        <v>88</v>
      </c>
      <c r="C40" s="5" t="s">
        <v>11</v>
      </c>
      <c r="D40" s="5" t="s">
        <v>89</v>
      </c>
      <c r="E40" s="6">
        <v>1</v>
      </c>
      <c r="F40" s="5">
        <v>380</v>
      </c>
      <c r="G40" s="5">
        <v>500</v>
      </c>
      <c r="H40" s="8">
        <f t="shared" si="0"/>
        <v>500</v>
      </c>
      <c r="I40" s="5"/>
      <c r="J40" s="5"/>
      <c r="K40" s="5"/>
      <c r="L40" s="6">
        <v>0</v>
      </c>
      <c r="M40" s="6" t="str">
        <f t="shared" si="3"/>
        <v>✅ STABLE</v>
      </c>
    </row>
    <row r="41" spans="2:13" ht="16" x14ac:dyDescent="0.45">
      <c r="B41" s="9" t="s">
        <v>90</v>
      </c>
      <c r="C41" s="8" t="s">
        <v>11</v>
      </c>
      <c r="D41" s="8" t="s">
        <v>91</v>
      </c>
      <c r="E41" s="9">
        <v>2</v>
      </c>
      <c r="F41" s="8">
        <v>240</v>
      </c>
      <c r="G41" s="8">
        <v>300</v>
      </c>
      <c r="H41" s="8">
        <f t="shared" si="0"/>
        <v>600</v>
      </c>
      <c r="I41" s="8"/>
      <c r="J41" s="8"/>
      <c r="K41" s="8"/>
      <c r="L41" s="9">
        <v>1</v>
      </c>
      <c r="M41" s="9" t="str">
        <f t="shared" si="3"/>
        <v>✅ STABLE</v>
      </c>
    </row>
    <row r="42" spans="2:13" ht="16" x14ac:dyDescent="0.45">
      <c r="B42" s="9" t="s">
        <v>92</v>
      </c>
      <c r="C42" s="5" t="s">
        <v>11</v>
      </c>
      <c r="D42" s="5" t="s">
        <v>760</v>
      </c>
      <c r="E42" s="6">
        <v>1</v>
      </c>
      <c r="F42" s="5">
        <v>220</v>
      </c>
      <c r="G42" s="5">
        <v>350</v>
      </c>
      <c r="H42" s="8">
        <f t="shared" si="0"/>
        <v>350</v>
      </c>
      <c r="I42" s="5"/>
      <c r="J42" s="5"/>
      <c r="K42" s="5"/>
      <c r="L42" s="6">
        <v>1</v>
      </c>
      <c r="M42" s="9" t="str">
        <f t="shared" si="3"/>
        <v>⚠️ REORDER</v>
      </c>
    </row>
    <row r="43" spans="2:13" ht="16" x14ac:dyDescent="0.45">
      <c r="B43" s="9" t="s">
        <v>93</v>
      </c>
      <c r="C43" s="8" t="s">
        <v>11</v>
      </c>
      <c r="D43" s="8" t="s">
        <v>759</v>
      </c>
      <c r="E43" s="9">
        <v>2</v>
      </c>
      <c r="F43" s="8">
        <v>275</v>
      </c>
      <c r="G43" s="8">
        <v>400</v>
      </c>
      <c r="H43" s="8">
        <f t="shared" si="0"/>
        <v>800</v>
      </c>
      <c r="I43" s="8"/>
      <c r="J43" s="8"/>
      <c r="K43" s="8"/>
      <c r="L43" s="9">
        <v>1</v>
      </c>
      <c r="M43" s="9" t="str">
        <f t="shared" si="3"/>
        <v>✅ STABLE</v>
      </c>
    </row>
    <row r="44" spans="2:13" ht="16" x14ac:dyDescent="0.45">
      <c r="B44" s="9" t="s">
        <v>94</v>
      </c>
      <c r="C44" s="5" t="s">
        <v>11</v>
      </c>
      <c r="D44" s="5" t="s">
        <v>683</v>
      </c>
      <c r="E44" s="6">
        <v>7</v>
      </c>
      <c r="F44" s="5">
        <v>30</v>
      </c>
      <c r="G44" s="5">
        <v>100</v>
      </c>
      <c r="H44" s="8">
        <f t="shared" si="0"/>
        <v>700</v>
      </c>
      <c r="I44" s="5"/>
      <c r="J44" s="5"/>
      <c r="K44" s="5"/>
      <c r="L44" s="6">
        <v>5</v>
      </c>
      <c r="M44" s="6" t="str">
        <f t="shared" si="3"/>
        <v>✅ STABLE</v>
      </c>
    </row>
    <row r="45" spans="2:13" ht="16" x14ac:dyDescent="0.45">
      <c r="B45" s="9" t="s">
        <v>95</v>
      </c>
      <c r="C45" s="8" t="s">
        <v>11</v>
      </c>
      <c r="D45" s="8" t="s">
        <v>665</v>
      </c>
      <c r="E45" s="9">
        <v>0</v>
      </c>
      <c r="F45" s="8"/>
      <c r="G45" s="5">
        <v>0</v>
      </c>
      <c r="H45" s="8">
        <f t="shared" si="0"/>
        <v>0</v>
      </c>
      <c r="I45" s="8"/>
      <c r="J45" s="8"/>
      <c r="K45" s="8"/>
      <c r="L45" s="6">
        <v>1</v>
      </c>
      <c r="M45" s="9" t="str">
        <f t="shared" ref="M45:M76" si="4">IF(E45&lt;=L45, "⚠️ REORDER", "✅ STABLE")</f>
        <v>⚠️ REORDER</v>
      </c>
    </row>
    <row r="46" spans="2:13" ht="16" x14ac:dyDescent="0.45">
      <c r="B46" s="9" t="s">
        <v>96</v>
      </c>
      <c r="C46" s="5" t="s">
        <v>11</v>
      </c>
      <c r="D46" s="5" t="s">
        <v>743</v>
      </c>
      <c r="E46" s="6">
        <v>3</v>
      </c>
      <c r="F46" s="5">
        <v>45</v>
      </c>
      <c r="G46" s="5">
        <v>100</v>
      </c>
      <c r="H46" s="8">
        <f t="shared" si="0"/>
        <v>300</v>
      </c>
      <c r="I46" s="5"/>
      <c r="J46" s="5"/>
      <c r="K46" s="5"/>
      <c r="L46" s="9">
        <v>1</v>
      </c>
      <c r="M46" s="6" t="str">
        <f t="shared" si="4"/>
        <v>✅ STABLE</v>
      </c>
    </row>
    <row r="47" spans="2:13" ht="16" x14ac:dyDescent="0.45">
      <c r="B47" s="9" t="s">
        <v>97</v>
      </c>
      <c r="C47" s="8" t="s">
        <v>13</v>
      </c>
      <c r="D47" s="8" t="s">
        <v>914</v>
      </c>
      <c r="E47" s="9">
        <v>3</v>
      </c>
      <c r="F47" s="8">
        <v>40</v>
      </c>
      <c r="G47" s="5">
        <v>100</v>
      </c>
      <c r="H47" s="8">
        <f t="shared" si="0"/>
        <v>300</v>
      </c>
      <c r="I47" s="8"/>
      <c r="J47" s="8"/>
      <c r="K47" s="8"/>
      <c r="L47" s="9">
        <v>1</v>
      </c>
      <c r="M47" s="9" t="str">
        <f t="shared" si="4"/>
        <v>✅ STABLE</v>
      </c>
    </row>
    <row r="48" spans="2:13" ht="16" x14ac:dyDescent="0.45">
      <c r="B48" s="9" t="s">
        <v>98</v>
      </c>
      <c r="C48" s="5" t="s">
        <v>13</v>
      </c>
      <c r="D48" s="5" t="s">
        <v>740</v>
      </c>
      <c r="E48" s="6">
        <v>1</v>
      </c>
      <c r="F48" s="5">
        <v>95</v>
      </c>
      <c r="G48" s="5">
        <v>200</v>
      </c>
      <c r="H48" s="8">
        <f t="shared" si="0"/>
        <v>200</v>
      </c>
      <c r="I48" s="5"/>
      <c r="J48" s="5"/>
      <c r="K48" s="5"/>
      <c r="L48" s="6">
        <v>1</v>
      </c>
      <c r="M48" s="6" t="str">
        <f t="shared" si="4"/>
        <v>⚠️ REORDER</v>
      </c>
    </row>
    <row r="49" spans="2:13" ht="16" x14ac:dyDescent="0.45">
      <c r="B49" s="9" t="s">
        <v>99</v>
      </c>
      <c r="C49" s="8" t="s">
        <v>13</v>
      </c>
      <c r="D49" s="8" t="s">
        <v>100</v>
      </c>
      <c r="E49" s="9">
        <v>0</v>
      </c>
      <c r="F49" s="8"/>
      <c r="G49" s="5">
        <v>0</v>
      </c>
      <c r="H49" s="8">
        <f t="shared" si="0"/>
        <v>0</v>
      </c>
      <c r="I49" s="8"/>
      <c r="J49" s="8"/>
      <c r="K49" s="8"/>
      <c r="L49" s="6">
        <v>1</v>
      </c>
      <c r="M49" s="9" t="str">
        <f t="shared" si="4"/>
        <v>⚠️ REORDER</v>
      </c>
    </row>
    <row r="50" spans="2:13" ht="16" x14ac:dyDescent="0.45">
      <c r="B50" s="9" t="s">
        <v>101</v>
      </c>
      <c r="C50" s="5" t="s">
        <v>13</v>
      </c>
      <c r="D50" s="5" t="s">
        <v>102</v>
      </c>
      <c r="E50" s="6">
        <v>0</v>
      </c>
      <c r="F50" s="5"/>
      <c r="G50" s="5">
        <v>0</v>
      </c>
      <c r="H50" s="8">
        <f t="shared" si="0"/>
        <v>0</v>
      </c>
      <c r="I50" s="5"/>
      <c r="J50" s="5"/>
      <c r="K50" s="5"/>
      <c r="L50" s="6">
        <v>1</v>
      </c>
      <c r="M50" s="6" t="str">
        <f t="shared" si="4"/>
        <v>⚠️ REORDER</v>
      </c>
    </row>
    <row r="51" spans="2:13" ht="16" x14ac:dyDescent="0.45">
      <c r="B51" s="9" t="s">
        <v>103</v>
      </c>
      <c r="C51" s="8" t="s">
        <v>13</v>
      </c>
      <c r="D51" s="8" t="s">
        <v>104</v>
      </c>
      <c r="E51" s="9">
        <v>0</v>
      </c>
      <c r="F51" s="8"/>
      <c r="G51" s="5">
        <v>0</v>
      </c>
      <c r="H51" s="8">
        <f t="shared" si="0"/>
        <v>0</v>
      </c>
      <c r="I51" s="8"/>
      <c r="J51" s="8"/>
      <c r="K51" s="8"/>
      <c r="L51" s="6">
        <v>1</v>
      </c>
      <c r="M51" s="9" t="str">
        <f t="shared" si="4"/>
        <v>⚠️ REORDER</v>
      </c>
    </row>
    <row r="52" spans="2:13" ht="16" x14ac:dyDescent="0.45">
      <c r="B52" s="9" t="s">
        <v>105</v>
      </c>
      <c r="C52" s="5" t="s">
        <v>13</v>
      </c>
      <c r="D52" s="5" t="s">
        <v>106</v>
      </c>
      <c r="E52" s="6">
        <v>0</v>
      </c>
      <c r="F52" s="5"/>
      <c r="G52" s="5">
        <v>0</v>
      </c>
      <c r="H52" s="8">
        <f t="shared" si="0"/>
        <v>0</v>
      </c>
      <c r="I52" s="5"/>
      <c r="J52" s="5"/>
      <c r="K52" s="5"/>
      <c r="L52" s="6">
        <v>1</v>
      </c>
      <c r="M52" s="6" t="str">
        <f t="shared" si="4"/>
        <v>⚠️ REORDER</v>
      </c>
    </row>
    <row r="53" spans="2:13" ht="16" x14ac:dyDescent="0.45">
      <c r="B53" s="9" t="s">
        <v>107</v>
      </c>
      <c r="C53" s="8" t="s">
        <v>13</v>
      </c>
      <c r="D53" s="8" t="s">
        <v>736</v>
      </c>
      <c r="E53" s="9">
        <v>1</v>
      </c>
      <c r="F53" s="8">
        <v>125</v>
      </c>
      <c r="G53" s="8">
        <v>200</v>
      </c>
      <c r="H53" s="8">
        <f t="shared" si="0"/>
        <v>200</v>
      </c>
      <c r="I53" s="8"/>
      <c r="J53" s="8"/>
      <c r="K53" s="8"/>
      <c r="L53" s="6">
        <v>1</v>
      </c>
      <c r="M53" s="9" t="str">
        <f t="shared" si="4"/>
        <v>⚠️ REORDER</v>
      </c>
    </row>
    <row r="54" spans="2:13" ht="16" x14ac:dyDescent="0.45">
      <c r="B54" s="9" t="s">
        <v>108</v>
      </c>
      <c r="C54" s="5" t="s">
        <v>13</v>
      </c>
      <c r="D54" s="5" t="s">
        <v>109</v>
      </c>
      <c r="E54" s="6">
        <v>0</v>
      </c>
      <c r="F54" s="5"/>
      <c r="G54" s="5">
        <v>0</v>
      </c>
      <c r="H54" s="8">
        <f t="shared" si="0"/>
        <v>0</v>
      </c>
      <c r="I54" s="5"/>
      <c r="J54" s="5"/>
      <c r="K54" s="5"/>
      <c r="L54" s="6">
        <v>1</v>
      </c>
      <c r="M54" s="6" t="str">
        <f t="shared" si="4"/>
        <v>⚠️ REORDER</v>
      </c>
    </row>
    <row r="55" spans="2:13" ht="16" x14ac:dyDescent="0.45">
      <c r="B55" s="9" t="s">
        <v>110</v>
      </c>
      <c r="C55" s="8" t="s">
        <v>13</v>
      </c>
      <c r="D55" s="8" t="s">
        <v>723</v>
      </c>
      <c r="E55" s="9">
        <v>90</v>
      </c>
      <c r="F55" s="8">
        <v>70</v>
      </c>
      <c r="G55" s="8">
        <v>5</v>
      </c>
      <c r="H55" s="8">
        <f t="shared" si="0"/>
        <v>450</v>
      </c>
      <c r="I55" s="8"/>
      <c r="J55" s="8"/>
      <c r="K55" s="8"/>
      <c r="L55" s="9">
        <v>5</v>
      </c>
      <c r="M55" s="9" t="str">
        <f t="shared" si="4"/>
        <v>✅ STABLE</v>
      </c>
    </row>
    <row r="56" spans="2:13" ht="16" x14ac:dyDescent="0.45">
      <c r="B56" s="9" t="s">
        <v>111</v>
      </c>
      <c r="C56" s="5" t="s">
        <v>13</v>
      </c>
      <c r="D56" s="5" t="s">
        <v>112</v>
      </c>
      <c r="E56" s="6">
        <v>0</v>
      </c>
      <c r="F56" s="5"/>
      <c r="G56" s="5">
        <v>0</v>
      </c>
      <c r="H56" s="8">
        <f t="shared" si="0"/>
        <v>0</v>
      </c>
      <c r="I56" s="5"/>
      <c r="J56" s="5"/>
      <c r="K56" s="5"/>
      <c r="L56" s="6">
        <v>1</v>
      </c>
      <c r="M56" s="6" t="str">
        <f t="shared" si="4"/>
        <v>⚠️ REORDER</v>
      </c>
    </row>
    <row r="57" spans="2:13" ht="16" x14ac:dyDescent="0.45">
      <c r="B57" s="9" t="s">
        <v>113</v>
      </c>
      <c r="C57" s="8" t="s">
        <v>13</v>
      </c>
      <c r="D57" s="8" t="s">
        <v>114</v>
      </c>
      <c r="E57" s="9">
        <v>0</v>
      </c>
      <c r="F57" s="8"/>
      <c r="G57" s="5">
        <v>0</v>
      </c>
      <c r="H57" s="8">
        <f t="shared" si="0"/>
        <v>0</v>
      </c>
      <c r="I57" s="8"/>
      <c r="J57" s="8"/>
      <c r="K57" s="8"/>
      <c r="L57" s="6">
        <v>1</v>
      </c>
      <c r="M57" s="9" t="str">
        <f t="shared" si="4"/>
        <v>⚠️ REORDER</v>
      </c>
    </row>
    <row r="58" spans="2:13" ht="16" x14ac:dyDescent="0.45">
      <c r="B58" s="9" t="s">
        <v>115</v>
      </c>
      <c r="C58" s="5" t="s">
        <v>19</v>
      </c>
      <c r="D58" s="5" t="s">
        <v>116</v>
      </c>
      <c r="E58" s="6">
        <v>2</v>
      </c>
      <c r="F58" s="5">
        <v>85</v>
      </c>
      <c r="G58" s="5">
        <v>150</v>
      </c>
      <c r="H58" s="8">
        <f t="shared" si="0"/>
        <v>300</v>
      </c>
      <c r="I58" s="5"/>
      <c r="J58" s="5"/>
      <c r="K58" s="5"/>
      <c r="L58" s="9">
        <v>1</v>
      </c>
      <c r="M58" s="6" t="str">
        <f t="shared" si="4"/>
        <v>✅ STABLE</v>
      </c>
    </row>
    <row r="59" spans="2:13" ht="16" x14ac:dyDescent="0.45">
      <c r="B59" s="9" t="s">
        <v>117</v>
      </c>
      <c r="C59" s="8" t="s">
        <v>18</v>
      </c>
      <c r="D59" s="8" t="s">
        <v>768</v>
      </c>
      <c r="E59" s="9">
        <v>7</v>
      </c>
      <c r="F59" s="8">
        <v>45</v>
      </c>
      <c r="G59" s="8">
        <v>100</v>
      </c>
      <c r="H59" s="8">
        <f t="shared" si="0"/>
        <v>700</v>
      </c>
      <c r="I59" s="8"/>
      <c r="J59" s="8"/>
      <c r="K59" s="8"/>
      <c r="L59" s="9">
        <v>5</v>
      </c>
      <c r="M59" s="9" t="str">
        <f t="shared" si="4"/>
        <v>✅ STABLE</v>
      </c>
    </row>
    <row r="60" spans="2:13" ht="16" x14ac:dyDescent="0.45">
      <c r="B60" s="9" t="s">
        <v>118</v>
      </c>
      <c r="C60" s="5" t="s">
        <v>19</v>
      </c>
      <c r="D60" s="5" t="s">
        <v>763</v>
      </c>
      <c r="E60" s="6">
        <v>2</v>
      </c>
      <c r="F60" s="5">
        <v>98</v>
      </c>
      <c r="G60" s="5">
        <v>150</v>
      </c>
      <c r="H60" s="8">
        <f t="shared" si="0"/>
        <v>300</v>
      </c>
      <c r="I60" s="5"/>
      <c r="J60" s="5"/>
      <c r="K60" s="5"/>
      <c r="L60" s="9">
        <v>1</v>
      </c>
      <c r="M60" s="6" t="str">
        <f t="shared" si="4"/>
        <v>✅ STABLE</v>
      </c>
    </row>
    <row r="61" spans="2:13" ht="16" x14ac:dyDescent="0.45">
      <c r="B61" s="9" t="s">
        <v>119</v>
      </c>
      <c r="C61" s="8" t="s">
        <v>19</v>
      </c>
      <c r="D61" s="8" t="s">
        <v>659</v>
      </c>
      <c r="E61" s="9">
        <v>5</v>
      </c>
      <c r="F61" s="8">
        <v>60</v>
      </c>
      <c r="G61" s="8">
        <v>150</v>
      </c>
      <c r="H61" s="8">
        <f t="shared" si="0"/>
        <v>750</v>
      </c>
      <c r="I61" s="8"/>
      <c r="J61" s="8"/>
      <c r="K61" s="8"/>
      <c r="L61" s="9">
        <v>1</v>
      </c>
      <c r="M61" s="9" t="str">
        <f t="shared" si="4"/>
        <v>✅ STABLE</v>
      </c>
    </row>
    <row r="62" spans="2:13" ht="16" x14ac:dyDescent="0.45">
      <c r="B62" s="9" t="s">
        <v>120</v>
      </c>
      <c r="C62" s="5" t="s">
        <v>19</v>
      </c>
      <c r="D62" s="5" t="s">
        <v>767</v>
      </c>
      <c r="E62" s="6">
        <v>20</v>
      </c>
      <c r="F62" s="5">
        <v>25</v>
      </c>
      <c r="G62" s="5">
        <v>50</v>
      </c>
      <c r="H62" s="8">
        <f t="shared" si="0"/>
        <v>1000</v>
      </c>
      <c r="I62" s="5"/>
      <c r="J62" s="5"/>
      <c r="K62" s="5"/>
      <c r="L62" s="6">
        <v>5</v>
      </c>
      <c r="M62" s="6" t="str">
        <f t="shared" si="4"/>
        <v>✅ STABLE</v>
      </c>
    </row>
    <row r="63" spans="2:13" ht="16" x14ac:dyDescent="0.45">
      <c r="B63" s="9" t="s">
        <v>121</v>
      </c>
      <c r="C63" s="8" t="s">
        <v>19</v>
      </c>
      <c r="D63" s="8" t="s">
        <v>668</v>
      </c>
      <c r="E63" s="9">
        <v>1</v>
      </c>
      <c r="F63" s="8">
        <v>90</v>
      </c>
      <c r="G63" s="8">
        <v>150</v>
      </c>
      <c r="H63" s="8">
        <f t="shared" si="0"/>
        <v>150</v>
      </c>
      <c r="I63" s="8"/>
      <c r="J63" s="8"/>
      <c r="K63" s="8"/>
      <c r="L63" s="6">
        <v>1</v>
      </c>
      <c r="M63" s="9" t="str">
        <f t="shared" si="4"/>
        <v>⚠️ REORDER</v>
      </c>
    </row>
    <row r="64" spans="2:13" ht="16" x14ac:dyDescent="0.45">
      <c r="B64" s="9" t="s">
        <v>122</v>
      </c>
      <c r="C64" s="5" t="s">
        <v>19</v>
      </c>
      <c r="D64" s="5" t="s">
        <v>123</v>
      </c>
      <c r="E64" s="6">
        <v>0</v>
      </c>
      <c r="F64" s="5"/>
      <c r="G64" s="5">
        <v>0</v>
      </c>
      <c r="H64" s="8">
        <f t="shared" si="0"/>
        <v>0</v>
      </c>
      <c r="I64" s="5"/>
      <c r="J64" s="5"/>
      <c r="K64" s="5"/>
      <c r="L64" s="6">
        <v>1</v>
      </c>
      <c r="M64" s="6" t="str">
        <f t="shared" si="4"/>
        <v>⚠️ REORDER</v>
      </c>
    </row>
    <row r="65" spans="2:13" ht="16" x14ac:dyDescent="0.45">
      <c r="B65" s="9" t="s">
        <v>124</v>
      </c>
      <c r="C65" s="8" t="s">
        <v>19</v>
      </c>
      <c r="D65" s="8" t="s">
        <v>771</v>
      </c>
      <c r="E65" s="9">
        <v>1</v>
      </c>
      <c r="F65" s="8">
        <v>46</v>
      </c>
      <c r="G65" s="8">
        <v>150</v>
      </c>
      <c r="H65" s="8">
        <f t="shared" si="0"/>
        <v>150</v>
      </c>
      <c r="I65" s="8"/>
      <c r="J65" s="8"/>
      <c r="K65" s="8"/>
      <c r="L65" s="9">
        <v>1</v>
      </c>
      <c r="M65" s="9" t="str">
        <f t="shared" si="4"/>
        <v>⚠️ REORDER</v>
      </c>
    </row>
    <row r="66" spans="2:13" ht="16" x14ac:dyDescent="0.45">
      <c r="B66" s="9" t="s">
        <v>125</v>
      </c>
      <c r="C66" s="5" t="s">
        <v>19</v>
      </c>
      <c r="D66" s="5" t="s">
        <v>126</v>
      </c>
      <c r="E66" s="6">
        <v>0</v>
      </c>
      <c r="F66" s="5"/>
      <c r="G66" s="5">
        <v>0</v>
      </c>
      <c r="H66" s="8">
        <f t="shared" si="0"/>
        <v>0</v>
      </c>
      <c r="I66" s="5"/>
      <c r="J66" s="5"/>
      <c r="K66" s="5"/>
      <c r="L66" s="6">
        <v>1</v>
      </c>
      <c r="M66" s="6" t="str">
        <f t="shared" si="4"/>
        <v>⚠️ REORDER</v>
      </c>
    </row>
    <row r="67" spans="2:13" ht="16" x14ac:dyDescent="0.45">
      <c r="B67" s="9" t="s">
        <v>127</v>
      </c>
      <c r="C67" s="8" t="s">
        <v>19</v>
      </c>
      <c r="D67" s="8" t="s">
        <v>656</v>
      </c>
      <c r="E67" s="9">
        <v>0</v>
      </c>
      <c r="F67" s="8">
        <v>50</v>
      </c>
      <c r="G67" s="8">
        <v>100</v>
      </c>
      <c r="H67" s="8">
        <f t="shared" si="0"/>
        <v>0</v>
      </c>
      <c r="I67" s="8"/>
      <c r="J67" s="8"/>
      <c r="K67" s="8"/>
      <c r="L67" s="9">
        <v>1</v>
      </c>
      <c r="M67" s="9" t="str">
        <f t="shared" si="4"/>
        <v>⚠️ REORDER</v>
      </c>
    </row>
    <row r="68" spans="2:13" ht="16" x14ac:dyDescent="0.45">
      <c r="B68" s="9" t="s">
        <v>128</v>
      </c>
      <c r="C68" s="5" t="s">
        <v>19</v>
      </c>
      <c r="D68" s="5" t="s">
        <v>747</v>
      </c>
      <c r="E68" s="6">
        <v>3</v>
      </c>
      <c r="F68" s="5">
        <v>40</v>
      </c>
      <c r="G68" s="5">
        <v>150</v>
      </c>
      <c r="H68" s="8">
        <f t="shared" si="0"/>
        <v>450</v>
      </c>
      <c r="I68" s="5"/>
      <c r="J68" s="5"/>
      <c r="K68" s="5"/>
      <c r="L68" s="6">
        <v>1</v>
      </c>
      <c r="M68" s="6" t="str">
        <f t="shared" si="4"/>
        <v>✅ STABLE</v>
      </c>
    </row>
    <row r="69" spans="2:13" ht="16" x14ac:dyDescent="0.45">
      <c r="B69" s="9" t="s">
        <v>129</v>
      </c>
      <c r="C69" s="8" t="s">
        <v>19</v>
      </c>
      <c r="D69" s="8" t="s">
        <v>676</v>
      </c>
      <c r="E69" s="9">
        <v>3</v>
      </c>
      <c r="F69" s="8">
        <v>58</v>
      </c>
      <c r="G69" s="8">
        <v>150</v>
      </c>
      <c r="H69" s="8">
        <f t="shared" ref="H69:H132" si="5">E69*G69</f>
        <v>450</v>
      </c>
      <c r="I69" s="8"/>
      <c r="J69" s="8"/>
      <c r="K69" s="8"/>
      <c r="L69" s="9">
        <v>1</v>
      </c>
      <c r="M69" s="9" t="str">
        <f t="shared" si="4"/>
        <v>✅ STABLE</v>
      </c>
    </row>
    <row r="70" spans="2:13" ht="16" x14ac:dyDescent="0.45">
      <c r="B70" s="9" t="s">
        <v>130</v>
      </c>
      <c r="C70" s="5" t="s">
        <v>19</v>
      </c>
      <c r="D70" s="5" t="s">
        <v>921</v>
      </c>
      <c r="E70" s="6">
        <v>0</v>
      </c>
      <c r="F70" s="5"/>
      <c r="G70" s="5">
        <v>0</v>
      </c>
      <c r="H70" s="8">
        <f t="shared" si="5"/>
        <v>0</v>
      </c>
      <c r="I70" s="5"/>
      <c r="J70" s="5"/>
      <c r="K70" s="5"/>
      <c r="L70" s="6">
        <v>1</v>
      </c>
      <c r="M70" s="6" t="str">
        <f t="shared" si="4"/>
        <v>⚠️ REORDER</v>
      </c>
    </row>
    <row r="71" spans="2:13" ht="16" x14ac:dyDescent="0.45">
      <c r="B71" s="9" t="s">
        <v>131</v>
      </c>
      <c r="C71" s="8" t="s">
        <v>19</v>
      </c>
      <c r="D71" s="8" t="s">
        <v>657</v>
      </c>
      <c r="E71" s="9">
        <v>1</v>
      </c>
      <c r="F71" s="8">
        <v>165</v>
      </c>
      <c r="G71" s="8">
        <v>300</v>
      </c>
      <c r="H71" s="8">
        <f t="shared" si="5"/>
        <v>300</v>
      </c>
      <c r="I71" s="8"/>
      <c r="J71" s="8"/>
      <c r="K71" s="8"/>
      <c r="L71" s="6">
        <v>1</v>
      </c>
      <c r="M71" s="9" t="str">
        <f t="shared" si="4"/>
        <v>⚠️ REORDER</v>
      </c>
    </row>
    <row r="72" spans="2:13" ht="16" x14ac:dyDescent="0.45">
      <c r="B72" s="9" t="s">
        <v>132</v>
      </c>
      <c r="C72" s="5" t="s">
        <v>19</v>
      </c>
      <c r="D72" s="5" t="s">
        <v>653</v>
      </c>
      <c r="E72" s="6">
        <v>1</v>
      </c>
      <c r="F72" s="5">
        <v>125</v>
      </c>
      <c r="G72" s="5">
        <v>200</v>
      </c>
      <c r="H72" s="8">
        <f t="shared" si="5"/>
        <v>200</v>
      </c>
      <c r="I72" s="5"/>
      <c r="J72" s="5"/>
      <c r="K72" s="5"/>
      <c r="L72" s="9">
        <v>1</v>
      </c>
      <c r="M72" s="6" t="str">
        <f t="shared" si="4"/>
        <v>⚠️ REORDER</v>
      </c>
    </row>
    <row r="73" spans="2:13" ht="16" x14ac:dyDescent="0.45">
      <c r="B73" s="9" t="s">
        <v>133</v>
      </c>
      <c r="C73" s="8" t="s">
        <v>19</v>
      </c>
      <c r="D73" s="8" t="s">
        <v>134</v>
      </c>
      <c r="E73" s="9">
        <v>0</v>
      </c>
      <c r="F73" s="8"/>
      <c r="G73" s="5">
        <v>0</v>
      </c>
      <c r="H73" s="8">
        <f t="shared" si="5"/>
        <v>0</v>
      </c>
      <c r="I73" s="8"/>
      <c r="J73" s="8"/>
      <c r="K73" s="8"/>
      <c r="L73" s="6">
        <v>1</v>
      </c>
      <c r="M73" s="9" t="str">
        <f t="shared" si="4"/>
        <v>⚠️ REORDER</v>
      </c>
    </row>
    <row r="74" spans="2:13" ht="16" x14ac:dyDescent="0.45">
      <c r="B74" s="9" t="s">
        <v>135</v>
      </c>
      <c r="C74" s="5" t="s">
        <v>19</v>
      </c>
      <c r="D74" s="5" t="s">
        <v>758</v>
      </c>
      <c r="E74" s="6">
        <v>1</v>
      </c>
      <c r="F74" s="5">
        <v>135</v>
      </c>
      <c r="G74" s="5">
        <v>250</v>
      </c>
      <c r="H74" s="8">
        <f t="shared" si="5"/>
        <v>250</v>
      </c>
      <c r="I74" s="5"/>
      <c r="J74" s="5"/>
      <c r="K74" s="5"/>
      <c r="L74" s="6">
        <v>1</v>
      </c>
      <c r="M74" s="9" t="str">
        <f t="shared" si="4"/>
        <v>⚠️ REORDER</v>
      </c>
    </row>
    <row r="75" spans="2:13" ht="16" x14ac:dyDescent="0.45">
      <c r="B75" s="9" t="s">
        <v>136</v>
      </c>
      <c r="C75" s="8" t="s">
        <v>19</v>
      </c>
      <c r="D75" s="8" t="s">
        <v>761</v>
      </c>
      <c r="E75" s="9">
        <v>1</v>
      </c>
      <c r="F75" s="8">
        <v>265</v>
      </c>
      <c r="G75" s="8">
        <v>350</v>
      </c>
      <c r="H75" s="8">
        <f t="shared" si="5"/>
        <v>350</v>
      </c>
      <c r="I75" s="8"/>
      <c r="J75" s="8"/>
      <c r="K75" s="8"/>
      <c r="L75" s="6">
        <v>1</v>
      </c>
      <c r="M75" s="9" t="str">
        <f t="shared" si="4"/>
        <v>⚠️ REORDER</v>
      </c>
    </row>
    <row r="76" spans="2:13" ht="16" x14ac:dyDescent="0.45">
      <c r="B76" s="9" t="s">
        <v>137</v>
      </c>
      <c r="C76" s="5" t="s">
        <v>19</v>
      </c>
      <c r="D76" s="5" t="s">
        <v>764</v>
      </c>
      <c r="E76" s="6">
        <v>3</v>
      </c>
      <c r="F76" s="5">
        <v>40</v>
      </c>
      <c r="G76" s="5">
        <v>150</v>
      </c>
      <c r="H76" s="8">
        <f t="shared" si="5"/>
        <v>450</v>
      </c>
      <c r="I76" s="5"/>
      <c r="J76" s="5"/>
      <c r="K76" s="5"/>
      <c r="L76" s="6">
        <v>1</v>
      </c>
      <c r="M76" s="6" t="str">
        <f t="shared" si="4"/>
        <v>✅ STABLE</v>
      </c>
    </row>
    <row r="77" spans="2:13" ht="16" x14ac:dyDescent="0.45">
      <c r="B77" s="9" t="s">
        <v>138</v>
      </c>
      <c r="C77" s="8" t="s">
        <v>19</v>
      </c>
      <c r="D77" s="8" t="s">
        <v>671</v>
      </c>
      <c r="E77" s="9">
        <v>3</v>
      </c>
      <c r="F77" s="8">
        <v>25</v>
      </c>
      <c r="G77" s="8">
        <v>50</v>
      </c>
      <c r="H77" s="8">
        <f t="shared" si="5"/>
        <v>150</v>
      </c>
      <c r="I77" s="8"/>
      <c r="J77" s="8"/>
      <c r="K77" s="8"/>
      <c r="L77" s="9">
        <v>1</v>
      </c>
      <c r="M77" s="9" t="str">
        <f t="shared" ref="M77:M108" si="6">IF(E77&lt;=L77, "⚠️ REORDER", "✅ STABLE")</f>
        <v>✅ STABLE</v>
      </c>
    </row>
    <row r="78" spans="2:13" ht="16" x14ac:dyDescent="0.45">
      <c r="B78" s="9" t="s">
        <v>139</v>
      </c>
      <c r="C78" s="5" t="s">
        <v>19</v>
      </c>
      <c r="D78" s="5" t="s">
        <v>735</v>
      </c>
      <c r="E78" s="6">
        <v>2</v>
      </c>
      <c r="F78" s="5">
        <v>65</v>
      </c>
      <c r="G78" s="5">
        <v>150</v>
      </c>
      <c r="H78" s="8">
        <f t="shared" si="5"/>
        <v>300</v>
      </c>
      <c r="I78" s="5"/>
      <c r="J78" s="5"/>
      <c r="K78" s="5"/>
      <c r="L78" s="6">
        <v>1</v>
      </c>
      <c r="M78" s="6" t="str">
        <f t="shared" si="6"/>
        <v>✅ STABLE</v>
      </c>
    </row>
    <row r="79" spans="2:13" ht="16" x14ac:dyDescent="0.45">
      <c r="B79" s="9" t="s">
        <v>140</v>
      </c>
      <c r="C79" s="8" t="s">
        <v>19</v>
      </c>
      <c r="D79" s="8" t="s">
        <v>141</v>
      </c>
      <c r="E79" s="9">
        <v>0</v>
      </c>
      <c r="F79" s="8"/>
      <c r="G79" s="5">
        <v>0</v>
      </c>
      <c r="H79" s="8">
        <f t="shared" si="5"/>
        <v>0</v>
      </c>
      <c r="I79" s="8"/>
      <c r="J79" s="8"/>
      <c r="K79" s="8"/>
      <c r="L79" s="6">
        <v>1</v>
      </c>
      <c r="M79" s="9" t="str">
        <f t="shared" si="6"/>
        <v>⚠️ REORDER</v>
      </c>
    </row>
    <row r="80" spans="2:13" ht="16" x14ac:dyDescent="0.45">
      <c r="B80" s="9" t="s">
        <v>142</v>
      </c>
      <c r="C80" s="5" t="s">
        <v>19</v>
      </c>
      <c r="D80" s="5" t="s">
        <v>143</v>
      </c>
      <c r="E80" s="6">
        <v>0</v>
      </c>
      <c r="F80" s="5"/>
      <c r="G80" s="5">
        <v>0</v>
      </c>
      <c r="H80" s="8">
        <f t="shared" si="5"/>
        <v>0</v>
      </c>
      <c r="I80" s="5"/>
      <c r="J80" s="5"/>
      <c r="K80" s="5"/>
      <c r="L80" s="6">
        <v>1</v>
      </c>
      <c r="M80" s="6" t="str">
        <f t="shared" si="6"/>
        <v>⚠️ REORDER</v>
      </c>
    </row>
    <row r="81" spans="2:13" ht="16" x14ac:dyDescent="0.45">
      <c r="B81" s="9" t="s">
        <v>144</v>
      </c>
      <c r="C81" s="8" t="s">
        <v>19</v>
      </c>
      <c r="D81" s="8" t="s">
        <v>752</v>
      </c>
      <c r="E81" s="9">
        <v>2</v>
      </c>
      <c r="F81" s="8">
        <v>260</v>
      </c>
      <c r="G81" s="8">
        <v>350</v>
      </c>
      <c r="H81" s="8">
        <f t="shared" si="5"/>
        <v>700</v>
      </c>
      <c r="I81" s="8"/>
      <c r="J81" s="8"/>
      <c r="K81" s="8"/>
      <c r="L81" s="9">
        <v>1</v>
      </c>
      <c r="M81" s="9" t="str">
        <f t="shared" si="6"/>
        <v>✅ STABLE</v>
      </c>
    </row>
    <row r="82" spans="2:13" ht="16" x14ac:dyDescent="0.45">
      <c r="B82" s="9" t="s">
        <v>145</v>
      </c>
      <c r="C82" s="5" t="s">
        <v>19</v>
      </c>
      <c r="D82" s="5" t="s">
        <v>146</v>
      </c>
      <c r="E82" s="6">
        <v>3</v>
      </c>
      <c r="F82" s="5">
        <v>25</v>
      </c>
      <c r="G82" s="5">
        <v>50</v>
      </c>
      <c r="H82" s="8">
        <f t="shared" si="5"/>
        <v>150</v>
      </c>
      <c r="I82" s="5"/>
      <c r="J82" s="5"/>
      <c r="K82" s="5"/>
      <c r="L82" s="9">
        <v>1</v>
      </c>
      <c r="M82" s="6" t="str">
        <f t="shared" si="6"/>
        <v>✅ STABLE</v>
      </c>
    </row>
    <row r="83" spans="2:13" ht="16" x14ac:dyDescent="0.45">
      <c r="B83" s="9" t="s">
        <v>147</v>
      </c>
      <c r="C83" s="8" t="s">
        <v>19</v>
      </c>
      <c r="D83" s="8" t="s">
        <v>148</v>
      </c>
      <c r="E83" s="9">
        <v>0</v>
      </c>
      <c r="F83" s="8"/>
      <c r="G83" s="5">
        <v>0</v>
      </c>
      <c r="H83" s="8">
        <f t="shared" si="5"/>
        <v>0</v>
      </c>
      <c r="I83" s="8"/>
      <c r="J83" s="8"/>
      <c r="K83" s="8"/>
      <c r="L83" s="6">
        <v>1</v>
      </c>
      <c r="M83" s="9" t="str">
        <f t="shared" si="6"/>
        <v>⚠️ REORDER</v>
      </c>
    </row>
    <row r="84" spans="2:13" ht="16" x14ac:dyDescent="0.45">
      <c r="B84" s="9" t="s">
        <v>149</v>
      </c>
      <c r="C84" s="5" t="s">
        <v>19</v>
      </c>
      <c r="D84" s="5" t="s">
        <v>150</v>
      </c>
      <c r="E84" s="6">
        <v>0</v>
      </c>
      <c r="F84" s="5"/>
      <c r="G84" s="5">
        <v>0</v>
      </c>
      <c r="H84" s="8">
        <f t="shared" si="5"/>
        <v>0</v>
      </c>
      <c r="I84" s="5"/>
      <c r="J84" s="5"/>
      <c r="K84" s="5"/>
      <c r="L84" s="6">
        <v>1</v>
      </c>
      <c r="M84" s="6" t="str">
        <f t="shared" si="6"/>
        <v>⚠️ REORDER</v>
      </c>
    </row>
    <row r="85" spans="2:13" ht="16" x14ac:dyDescent="0.45">
      <c r="B85" s="9" t="s">
        <v>151</v>
      </c>
      <c r="C85" s="8" t="s">
        <v>12</v>
      </c>
      <c r="D85" s="8" t="s">
        <v>913</v>
      </c>
      <c r="E85" s="9">
        <v>1</v>
      </c>
      <c r="F85" s="8">
        <v>285</v>
      </c>
      <c r="G85" s="8">
        <v>500</v>
      </c>
      <c r="H85" s="8">
        <f t="shared" si="5"/>
        <v>500</v>
      </c>
      <c r="I85" s="8"/>
      <c r="J85" s="8"/>
      <c r="K85" s="8"/>
      <c r="L85" s="6">
        <v>1</v>
      </c>
      <c r="M85" s="9" t="str">
        <f t="shared" si="6"/>
        <v>⚠️ REORDER</v>
      </c>
    </row>
    <row r="86" spans="2:13" ht="16" x14ac:dyDescent="0.45">
      <c r="B86" s="9" t="s">
        <v>152</v>
      </c>
      <c r="C86" s="5" t="s">
        <v>12</v>
      </c>
      <c r="D86" s="5" t="s">
        <v>690</v>
      </c>
      <c r="E86" s="6">
        <v>1</v>
      </c>
      <c r="F86" s="5">
        <v>380</v>
      </c>
      <c r="G86" s="5">
        <v>550</v>
      </c>
      <c r="H86" s="8">
        <f t="shared" si="5"/>
        <v>550</v>
      </c>
      <c r="I86" s="5"/>
      <c r="J86" s="5"/>
      <c r="K86" s="5"/>
      <c r="L86" s="6">
        <v>1</v>
      </c>
      <c r="M86" s="9" t="str">
        <f t="shared" si="6"/>
        <v>⚠️ REORDER</v>
      </c>
    </row>
    <row r="87" spans="2:13" ht="16" x14ac:dyDescent="0.45">
      <c r="B87" s="9" t="s">
        <v>153</v>
      </c>
      <c r="C87" s="8" t="s">
        <v>12</v>
      </c>
      <c r="D87" s="8" t="s">
        <v>664</v>
      </c>
      <c r="E87" s="9">
        <v>3</v>
      </c>
      <c r="F87" s="8">
        <v>55</v>
      </c>
      <c r="G87" s="8">
        <v>150</v>
      </c>
      <c r="H87" s="8">
        <f t="shared" si="5"/>
        <v>450</v>
      </c>
      <c r="I87" s="8"/>
      <c r="J87" s="8"/>
      <c r="K87" s="8"/>
      <c r="L87" s="9">
        <v>1</v>
      </c>
      <c r="M87" s="9" t="str">
        <f t="shared" si="6"/>
        <v>✅ STABLE</v>
      </c>
    </row>
    <row r="88" spans="2:13" ht="16" x14ac:dyDescent="0.45">
      <c r="B88" s="9" t="s">
        <v>154</v>
      </c>
      <c r="C88" s="5" t="s">
        <v>12</v>
      </c>
      <c r="D88" s="5" t="s">
        <v>745</v>
      </c>
      <c r="E88" s="6">
        <v>3</v>
      </c>
      <c r="F88" s="5">
        <v>225</v>
      </c>
      <c r="G88" s="5">
        <v>400</v>
      </c>
      <c r="H88" s="8">
        <f t="shared" si="5"/>
        <v>1200</v>
      </c>
      <c r="I88" s="5"/>
      <c r="J88" s="5"/>
      <c r="K88" s="5"/>
      <c r="L88" s="9">
        <v>1</v>
      </c>
      <c r="M88" s="6" t="str">
        <f t="shared" si="6"/>
        <v>✅ STABLE</v>
      </c>
    </row>
    <row r="89" spans="2:13" ht="16" x14ac:dyDescent="0.45">
      <c r="B89" s="9" t="s">
        <v>155</v>
      </c>
      <c r="C89" s="8" t="s">
        <v>12</v>
      </c>
      <c r="D89" s="8" t="s">
        <v>156</v>
      </c>
      <c r="E89" s="9">
        <v>3</v>
      </c>
      <c r="F89" s="8">
        <v>35</v>
      </c>
      <c r="G89" s="5">
        <v>100</v>
      </c>
      <c r="H89" s="8">
        <f t="shared" si="5"/>
        <v>300</v>
      </c>
      <c r="I89" s="8"/>
      <c r="J89" s="8"/>
      <c r="K89" s="8"/>
      <c r="L89" s="9">
        <v>1</v>
      </c>
      <c r="M89" s="9" t="str">
        <f t="shared" si="6"/>
        <v>✅ STABLE</v>
      </c>
    </row>
    <row r="90" spans="2:13" ht="16" x14ac:dyDescent="0.45">
      <c r="B90" s="9" t="s">
        <v>157</v>
      </c>
      <c r="C90" s="5" t="s">
        <v>12</v>
      </c>
      <c r="D90" s="22" t="s">
        <v>1055</v>
      </c>
      <c r="E90" s="6">
        <v>1</v>
      </c>
      <c r="F90" s="5">
        <v>35</v>
      </c>
      <c r="G90" s="5">
        <v>100</v>
      </c>
      <c r="H90" s="8">
        <f t="shared" si="5"/>
        <v>100</v>
      </c>
      <c r="I90" s="5"/>
      <c r="J90" s="5"/>
      <c r="K90" s="5"/>
      <c r="L90" s="6">
        <v>1</v>
      </c>
      <c r="M90" s="6" t="str">
        <f t="shared" si="6"/>
        <v>⚠️ REORDER</v>
      </c>
    </row>
    <row r="91" spans="2:13" ht="16" x14ac:dyDescent="0.45">
      <c r="B91" s="9" t="s">
        <v>158</v>
      </c>
      <c r="C91" s="8" t="s">
        <v>12</v>
      </c>
      <c r="D91" s="8" t="s">
        <v>159</v>
      </c>
      <c r="E91" s="9">
        <v>2</v>
      </c>
      <c r="F91" s="8">
        <v>145</v>
      </c>
      <c r="G91" s="8">
        <v>250</v>
      </c>
      <c r="H91" s="8">
        <f t="shared" si="5"/>
        <v>500</v>
      </c>
      <c r="I91" s="8"/>
      <c r="J91" s="8"/>
      <c r="K91" s="8"/>
      <c r="L91" s="9">
        <v>1</v>
      </c>
      <c r="M91" s="9" t="str">
        <f t="shared" si="6"/>
        <v>✅ STABLE</v>
      </c>
    </row>
    <row r="92" spans="2:13" ht="16" x14ac:dyDescent="0.45">
      <c r="B92" s="9" t="s">
        <v>160</v>
      </c>
      <c r="C92" s="5" t="s">
        <v>12</v>
      </c>
      <c r="D92" s="5" t="s">
        <v>161</v>
      </c>
      <c r="E92" s="6">
        <v>0</v>
      </c>
      <c r="F92" s="5"/>
      <c r="G92" s="5">
        <v>0</v>
      </c>
      <c r="H92" s="8">
        <f t="shared" si="5"/>
        <v>0</v>
      </c>
      <c r="I92" s="5"/>
      <c r="J92" s="5"/>
      <c r="K92" s="5"/>
      <c r="L92" s="6">
        <v>1</v>
      </c>
      <c r="M92" s="6" t="str">
        <f t="shared" si="6"/>
        <v>⚠️ REORDER</v>
      </c>
    </row>
    <row r="93" spans="2:13" ht="16" x14ac:dyDescent="0.45">
      <c r="B93" s="9" t="s">
        <v>162</v>
      </c>
      <c r="C93" s="8" t="s">
        <v>12</v>
      </c>
      <c r="D93" s="8" t="s">
        <v>661</v>
      </c>
      <c r="E93" s="9">
        <v>1</v>
      </c>
      <c r="F93" s="8">
        <v>325</v>
      </c>
      <c r="G93" s="8">
        <v>500</v>
      </c>
      <c r="H93" s="8">
        <f t="shared" si="5"/>
        <v>500</v>
      </c>
      <c r="I93" s="8"/>
      <c r="J93" s="8"/>
      <c r="K93" s="8"/>
      <c r="L93" s="6">
        <v>1</v>
      </c>
      <c r="M93" s="9" t="str">
        <f t="shared" si="6"/>
        <v>⚠️ REORDER</v>
      </c>
    </row>
    <row r="94" spans="2:13" ht="16" x14ac:dyDescent="0.45">
      <c r="B94" s="9" t="s">
        <v>163</v>
      </c>
      <c r="C94" s="5" t="s">
        <v>12</v>
      </c>
      <c r="D94" s="5" t="s">
        <v>164</v>
      </c>
      <c r="E94" s="6">
        <v>0</v>
      </c>
      <c r="F94" s="5"/>
      <c r="G94" s="5">
        <v>0</v>
      </c>
      <c r="H94" s="8">
        <f t="shared" si="5"/>
        <v>0</v>
      </c>
      <c r="I94" s="5"/>
      <c r="J94" s="5"/>
      <c r="K94" s="5"/>
      <c r="L94" s="6">
        <v>1</v>
      </c>
      <c r="M94" s="6" t="str">
        <f t="shared" si="6"/>
        <v>⚠️ REORDER</v>
      </c>
    </row>
    <row r="95" spans="2:13" ht="16" x14ac:dyDescent="0.45">
      <c r="B95" s="9" t="s">
        <v>165</v>
      </c>
      <c r="C95" s="8" t="s">
        <v>12</v>
      </c>
      <c r="D95" s="8" t="s">
        <v>741</v>
      </c>
      <c r="E95" s="9">
        <v>1</v>
      </c>
      <c r="F95" s="8">
        <v>295</v>
      </c>
      <c r="G95" s="8">
        <v>400</v>
      </c>
      <c r="H95" s="8">
        <f t="shared" si="5"/>
        <v>400</v>
      </c>
      <c r="I95" s="8"/>
      <c r="J95" s="8"/>
      <c r="K95" s="8"/>
      <c r="L95" s="6">
        <v>1</v>
      </c>
      <c r="M95" s="9" t="str">
        <f t="shared" si="6"/>
        <v>⚠️ REORDER</v>
      </c>
    </row>
    <row r="96" spans="2:13" ht="16" x14ac:dyDescent="0.45">
      <c r="B96" s="9" t="s">
        <v>166</v>
      </c>
      <c r="C96" s="5" t="s">
        <v>12</v>
      </c>
      <c r="D96" s="5" t="s">
        <v>167</v>
      </c>
      <c r="E96" s="6">
        <v>0</v>
      </c>
      <c r="F96" s="5"/>
      <c r="G96" s="5">
        <v>0</v>
      </c>
      <c r="H96" s="8">
        <f t="shared" si="5"/>
        <v>0</v>
      </c>
      <c r="I96" s="5"/>
      <c r="J96" s="5"/>
      <c r="K96" s="5"/>
      <c r="L96" s="6">
        <v>1</v>
      </c>
      <c r="M96" s="6" t="str">
        <f t="shared" si="6"/>
        <v>⚠️ REORDER</v>
      </c>
    </row>
    <row r="97" spans="2:13" ht="16" x14ac:dyDescent="0.45">
      <c r="B97" s="9" t="s">
        <v>168</v>
      </c>
      <c r="C97" s="8" t="s">
        <v>12</v>
      </c>
      <c r="D97" s="8" t="s">
        <v>169</v>
      </c>
      <c r="E97" s="9">
        <v>0</v>
      </c>
      <c r="F97" s="8"/>
      <c r="G97" s="5">
        <v>0</v>
      </c>
      <c r="H97" s="8">
        <f t="shared" si="5"/>
        <v>0</v>
      </c>
      <c r="I97" s="8"/>
      <c r="J97" s="8"/>
      <c r="K97" s="8"/>
      <c r="L97" s="6">
        <v>1</v>
      </c>
      <c r="M97" s="9" t="str">
        <f t="shared" si="6"/>
        <v>⚠️ REORDER</v>
      </c>
    </row>
    <row r="98" spans="2:13" ht="16" x14ac:dyDescent="0.45">
      <c r="B98" s="9" t="s">
        <v>170</v>
      </c>
      <c r="C98" s="5" t="s">
        <v>12</v>
      </c>
      <c r="D98" s="5" t="s">
        <v>171</v>
      </c>
      <c r="E98" s="6">
        <v>0</v>
      </c>
      <c r="F98" s="5"/>
      <c r="G98" s="5">
        <v>0</v>
      </c>
      <c r="H98" s="8">
        <f t="shared" si="5"/>
        <v>0</v>
      </c>
      <c r="I98" s="5"/>
      <c r="J98" s="5"/>
      <c r="K98" s="5"/>
      <c r="L98" s="6">
        <v>1</v>
      </c>
      <c r="M98" s="6" t="str">
        <f t="shared" si="6"/>
        <v>⚠️ REORDER</v>
      </c>
    </row>
    <row r="99" spans="2:13" ht="16" x14ac:dyDescent="0.45">
      <c r="B99" s="9" t="s">
        <v>172</v>
      </c>
      <c r="C99" s="8" t="s">
        <v>12</v>
      </c>
      <c r="D99" s="8" t="s">
        <v>173</v>
      </c>
      <c r="E99" s="9">
        <v>0</v>
      </c>
      <c r="F99" s="8"/>
      <c r="G99" s="5">
        <v>0</v>
      </c>
      <c r="H99" s="8">
        <f t="shared" si="5"/>
        <v>0</v>
      </c>
      <c r="I99" s="8"/>
      <c r="J99" s="8"/>
      <c r="K99" s="8"/>
      <c r="L99" s="6">
        <v>1</v>
      </c>
      <c r="M99" s="9" t="str">
        <f t="shared" si="6"/>
        <v>⚠️ REORDER</v>
      </c>
    </row>
    <row r="100" spans="2:13" ht="16" x14ac:dyDescent="0.45">
      <c r="B100" s="9" t="s">
        <v>174</v>
      </c>
      <c r="C100" s="5" t="s">
        <v>12</v>
      </c>
      <c r="D100" s="5" t="s">
        <v>175</v>
      </c>
      <c r="E100" s="6">
        <v>0</v>
      </c>
      <c r="F100" s="5"/>
      <c r="G100" s="5">
        <v>0</v>
      </c>
      <c r="H100" s="8">
        <f t="shared" si="5"/>
        <v>0</v>
      </c>
      <c r="I100" s="5"/>
      <c r="J100" s="5"/>
      <c r="K100" s="5"/>
      <c r="L100" s="6">
        <v>1</v>
      </c>
      <c r="M100" s="6" t="str">
        <f t="shared" si="6"/>
        <v>⚠️ REORDER</v>
      </c>
    </row>
    <row r="101" spans="2:13" ht="16" x14ac:dyDescent="0.45">
      <c r="B101" s="9" t="s">
        <v>176</v>
      </c>
      <c r="C101" s="5" t="s">
        <v>20</v>
      </c>
      <c r="D101" s="8" t="s">
        <v>922</v>
      </c>
      <c r="E101" s="9">
        <v>1</v>
      </c>
      <c r="F101" s="8">
        <v>298</v>
      </c>
      <c r="G101" s="8">
        <v>450</v>
      </c>
      <c r="H101" s="8">
        <f t="shared" si="5"/>
        <v>450</v>
      </c>
      <c r="I101" s="8"/>
      <c r="J101" s="8"/>
      <c r="K101" s="8"/>
      <c r="L101" s="6">
        <v>1</v>
      </c>
      <c r="M101" s="9" t="str">
        <f t="shared" si="6"/>
        <v>⚠️ REORDER</v>
      </c>
    </row>
    <row r="102" spans="2:13" ht="16" x14ac:dyDescent="0.45">
      <c r="B102" s="9" t="s">
        <v>177</v>
      </c>
      <c r="C102" s="5" t="s">
        <v>20</v>
      </c>
      <c r="D102" s="5" t="s">
        <v>910</v>
      </c>
      <c r="E102" s="6">
        <v>1</v>
      </c>
      <c r="F102" s="5">
        <v>735</v>
      </c>
      <c r="G102" s="5">
        <v>1050</v>
      </c>
      <c r="H102" s="8">
        <f t="shared" si="5"/>
        <v>1050</v>
      </c>
      <c r="I102" s="5"/>
      <c r="J102" s="5"/>
      <c r="K102" s="5"/>
      <c r="L102" s="6">
        <v>1</v>
      </c>
      <c r="M102" s="9" t="str">
        <f t="shared" si="6"/>
        <v>⚠️ REORDER</v>
      </c>
    </row>
    <row r="103" spans="2:13" ht="16" x14ac:dyDescent="0.45">
      <c r="B103" s="9" t="s">
        <v>178</v>
      </c>
      <c r="C103" s="5" t="s">
        <v>20</v>
      </c>
      <c r="D103" s="8" t="s">
        <v>179</v>
      </c>
      <c r="E103" s="9">
        <v>1</v>
      </c>
      <c r="F103" s="8">
        <v>535</v>
      </c>
      <c r="G103" s="8">
        <v>800</v>
      </c>
      <c r="H103" s="8">
        <f t="shared" si="5"/>
        <v>800</v>
      </c>
      <c r="I103" s="8"/>
      <c r="J103" s="8"/>
      <c r="K103" s="8"/>
      <c r="L103" s="6">
        <v>1</v>
      </c>
      <c r="M103" s="9" t="str">
        <f t="shared" si="6"/>
        <v>⚠️ REORDER</v>
      </c>
    </row>
    <row r="104" spans="2:13" ht="16" x14ac:dyDescent="0.45">
      <c r="B104" s="9" t="s">
        <v>180</v>
      </c>
      <c r="C104" s="5" t="s">
        <v>20</v>
      </c>
      <c r="D104" s="5" t="s">
        <v>181</v>
      </c>
      <c r="E104" s="6">
        <v>0</v>
      </c>
      <c r="F104" s="5"/>
      <c r="G104" s="5">
        <v>0</v>
      </c>
      <c r="H104" s="8">
        <f t="shared" si="5"/>
        <v>0</v>
      </c>
      <c r="I104" s="5"/>
      <c r="J104" s="5"/>
      <c r="K104" s="5"/>
      <c r="L104" s="6">
        <v>1</v>
      </c>
      <c r="M104" s="6" t="str">
        <f t="shared" si="6"/>
        <v>⚠️ REORDER</v>
      </c>
    </row>
    <row r="105" spans="2:13" ht="16" x14ac:dyDescent="0.45">
      <c r="B105" s="9" t="s">
        <v>182</v>
      </c>
      <c r="C105" s="5" t="s">
        <v>20</v>
      </c>
      <c r="D105" s="8" t="s">
        <v>183</v>
      </c>
      <c r="E105" s="9">
        <v>0</v>
      </c>
      <c r="F105" s="8"/>
      <c r="G105" s="5">
        <v>0</v>
      </c>
      <c r="H105" s="8">
        <f t="shared" si="5"/>
        <v>0</v>
      </c>
      <c r="I105" s="8"/>
      <c r="J105" s="8"/>
      <c r="K105" s="8"/>
      <c r="L105" s="6">
        <v>1</v>
      </c>
      <c r="M105" s="9" t="str">
        <f t="shared" si="6"/>
        <v>⚠️ REORDER</v>
      </c>
    </row>
    <row r="106" spans="2:13" ht="16" x14ac:dyDescent="0.45">
      <c r="B106" s="9" t="s">
        <v>184</v>
      </c>
      <c r="C106" s="5" t="s">
        <v>20</v>
      </c>
      <c r="D106" s="5" t="s">
        <v>905</v>
      </c>
      <c r="E106" s="6">
        <v>0</v>
      </c>
      <c r="F106" s="5"/>
      <c r="G106" s="5">
        <v>0</v>
      </c>
      <c r="H106" s="8">
        <f t="shared" si="5"/>
        <v>0</v>
      </c>
      <c r="I106" s="5"/>
      <c r="J106" s="5"/>
      <c r="K106" s="5"/>
      <c r="L106" s="6">
        <v>1</v>
      </c>
      <c r="M106" s="6" t="str">
        <f t="shared" si="6"/>
        <v>⚠️ REORDER</v>
      </c>
    </row>
    <row r="107" spans="2:13" ht="16" x14ac:dyDescent="0.45">
      <c r="B107" s="9" t="s">
        <v>185</v>
      </c>
      <c r="C107" s="5" t="s">
        <v>20</v>
      </c>
      <c r="D107" s="8" t="s">
        <v>186</v>
      </c>
      <c r="E107" s="9">
        <v>0</v>
      </c>
      <c r="F107" s="8"/>
      <c r="G107" s="5">
        <v>0</v>
      </c>
      <c r="H107" s="8">
        <f t="shared" si="5"/>
        <v>0</v>
      </c>
      <c r="I107" s="8"/>
      <c r="J107" s="8"/>
      <c r="K107" s="8"/>
      <c r="L107" s="6">
        <v>1</v>
      </c>
      <c r="M107" s="9" t="str">
        <f t="shared" si="6"/>
        <v>⚠️ REORDER</v>
      </c>
    </row>
    <row r="108" spans="2:13" ht="16" x14ac:dyDescent="0.45">
      <c r="B108" s="9" t="s">
        <v>187</v>
      </c>
      <c r="C108" s="5" t="s">
        <v>20</v>
      </c>
      <c r="D108" s="5" t="s">
        <v>188</v>
      </c>
      <c r="E108" s="6">
        <v>0</v>
      </c>
      <c r="F108" s="5"/>
      <c r="G108" s="5">
        <v>0</v>
      </c>
      <c r="H108" s="8">
        <f t="shared" si="5"/>
        <v>0</v>
      </c>
      <c r="I108" s="5"/>
      <c r="J108" s="5"/>
      <c r="K108" s="5"/>
      <c r="L108" s="6">
        <v>1</v>
      </c>
      <c r="M108" s="6" t="str">
        <f t="shared" si="6"/>
        <v>⚠️ REORDER</v>
      </c>
    </row>
    <row r="109" spans="2:13" ht="16" x14ac:dyDescent="0.45">
      <c r="B109" s="9" t="s">
        <v>189</v>
      </c>
      <c r="C109" s="5" t="s">
        <v>20</v>
      </c>
      <c r="D109" s="8" t="s">
        <v>925</v>
      </c>
      <c r="E109" s="9">
        <v>1</v>
      </c>
      <c r="F109" s="8">
        <v>380</v>
      </c>
      <c r="G109" s="5">
        <v>450</v>
      </c>
      <c r="H109" s="8">
        <f t="shared" si="5"/>
        <v>450</v>
      </c>
      <c r="I109" s="8"/>
      <c r="J109" s="8"/>
      <c r="K109" s="8"/>
      <c r="L109" s="9">
        <v>1</v>
      </c>
      <c r="M109" s="9" t="str">
        <f t="shared" ref="M109:M136" si="7">IF(E109&lt;=L109, "⚠️ REORDER", "✅ STABLE")</f>
        <v>⚠️ REORDER</v>
      </c>
    </row>
    <row r="110" spans="2:13" ht="16" x14ac:dyDescent="0.45">
      <c r="B110" s="9" t="s">
        <v>190</v>
      </c>
      <c r="C110" s="5" t="s">
        <v>18</v>
      </c>
      <c r="D110" s="5" t="s">
        <v>926</v>
      </c>
      <c r="E110" s="6">
        <v>1</v>
      </c>
      <c r="F110" s="5">
        <v>120</v>
      </c>
      <c r="G110" s="5">
        <v>200</v>
      </c>
      <c r="H110" s="8">
        <f t="shared" si="5"/>
        <v>200</v>
      </c>
      <c r="I110" s="5"/>
      <c r="J110" s="5"/>
      <c r="K110" s="5"/>
      <c r="L110" s="9">
        <v>0</v>
      </c>
      <c r="M110" s="6" t="str">
        <f t="shared" si="7"/>
        <v>✅ STABLE</v>
      </c>
    </row>
    <row r="111" spans="2:13" ht="16" x14ac:dyDescent="0.45">
      <c r="B111" s="9" t="s">
        <v>191</v>
      </c>
      <c r="C111" s="5" t="s">
        <v>20</v>
      </c>
      <c r="D111" s="8" t="s">
        <v>679</v>
      </c>
      <c r="E111" s="9">
        <v>9</v>
      </c>
      <c r="F111" s="8">
        <v>35</v>
      </c>
      <c r="G111" s="8">
        <v>100</v>
      </c>
      <c r="H111" s="8">
        <f t="shared" si="5"/>
        <v>900</v>
      </c>
      <c r="I111" s="8"/>
      <c r="J111" s="8"/>
      <c r="K111" s="8"/>
      <c r="L111" s="9">
        <v>5</v>
      </c>
      <c r="M111" s="9" t="str">
        <f t="shared" si="7"/>
        <v>✅ STABLE</v>
      </c>
    </row>
    <row r="112" spans="2:13" ht="16" x14ac:dyDescent="0.45">
      <c r="B112" s="9" t="s">
        <v>192</v>
      </c>
      <c r="C112" s="5" t="s">
        <v>20</v>
      </c>
      <c r="D112" s="5" t="s">
        <v>193</v>
      </c>
      <c r="E112" s="6">
        <v>1</v>
      </c>
      <c r="F112" s="5">
        <v>350</v>
      </c>
      <c r="G112" s="5">
        <v>500</v>
      </c>
      <c r="H112" s="8">
        <f t="shared" si="5"/>
        <v>500</v>
      </c>
      <c r="I112" s="5"/>
      <c r="J112" s="5"/>
      <c r="K112" s="5"/>
      <c r="L112" s="6">
        <v>1</v>
      </c>
      <c r="M112" s="9" t="str">
        <f t="shared" si="7"/>
        <v>⚠️ REORDER</v>
      </c>
    </row>
    <row r="113" spans="2:13" ht="16" x14ac:dyDescent="0.45">
      <c r="B113" s="9" t="s">
        <v>194</v>
      </c>
      <c r="C113" s="5" t="s">
        <v>20</v>
      </c>
      <c r="D113" s="8" t="s">
        <v>670</v>
      </c>
      <c r="E113" s="9">
        <v>1</v>
      </c>
      <c r="F113" s="8">
        <v>1230</v>
      </c>
      <c r="G113" s="8">
        <v>1700</v>
      </c>
      <c r="H113" s="8">
        <f t="shared" si="5"/>
        <v>1700</v>
      </c>
      <c r="I113" s="8"/>
      <c r="J113" s="8"/>
      <c r="K113" s="8"/>
      <c r="L113" s="6">
        <v>1</v>
      </c>
      <c r="M113" s="9" t="str">
        <f t="shared" si="7"/>
        <v>⚠️ REORDER</v>
      </c>
    </row>
    <row r="114" spans="2:13" ht="16" x14ac:dyDescent="0.45">
      <c r="B114" s="9" t="s">
        <v>195</v>
      </c>
      <c r="C114" s="5" t="s">
        <v>20</v>
      </c>
      <c r="D114" s="5" t="s">
        <v>196</v>
      </c>
      <c r="E114" s="6">
        <v>0</v>
      </c>
      <c r="F114" s="5"/>
      <c r="G114" s="5">
        <v>0</v>
      </c>
      <c r="H114" s="8">
        <f t="shared" si="5"/>
        <v>0</v>
      </c>
      <c r="I114" s="5"/>
      <c r="J114" s="5"/>
      <c r="K114" s="5"/>
      <c r="L114" s="6">
        <v>1</v>
      </c>
      <c r="M114" s="6" t="str">
        <f t="shared" si="7"/>
        <v>⚠️ REORDER</v>
      </c>
    </row>
    <row r="115" spans="2:13" ht="16" x14ac:dyDescent="0.45">
      <c r="B115" s="9" t="s">
        <v>197</v>
      </c>
      <c r="C115" s="5" t="s">
        <v>20</v>
      </c>
      <c r="D115" s="8" t="s">
        <v>673</v>
      </c>
      <c r="E115" s="9">
        <v>2</v>
      </c>
      <c r="F115" s="8">
        <v>320</v>
      </c>
      <c r="G115" s="8">
        <v>500</v>
      </c>
      <c r="H115" s="8">
        <f t="shared" si="5"/>
        <v>1000</v>
      </c>
      <c r="I115" s="8"/>
      <c r="J115" s="8"/>
      <c r="K115" s="8"/>
      <c r="L115" s="9">
        <v>1</v>
      </c>
      <c r="M115" s="9" t="str">
        <f t="shared" si="7"/>
        <v>✅ STABLE</v>
      </c>
    </row>
    <row r="116" spans="2:13" ht="16" x14ac:dyDescent="0.45">
      <c r="B116" s="9" t="s">
        <v>198</v>
      </c>
      <c r="C116" s="16" t="s">
        <v>687</v>
      </c>
      <c r="D116" s="5" t="s">
        <v>692</v>
      </c>
      <c r="E116" s="6">
        <v>2</v>
      </c>
      <c r="F116" s="5">
        <v>85</v>
      </c>
      <c r="G116" s="5">
        <v>150</v>
      </c>
      <c r="H116" s="8">
        <f t="shared" si="5"/>
        <v>300</v>
      </c>
      <c r="I116" s="5"/>
      <c r="J116" s="5"/>
      <c r="K116" s="5"/>
      <c r="L116" s="9">
        <v>1</v>
      </c>
      <c r="M116" s="6" t="str">
        <f t="shared" si="7"/>
        <v>✅ STABLE</v>
      </c>
    </row>
    <row r="117" spans="2:13" ht="16" x14ac:dyDescent="0.45">
      <c r="B117" s="9" t="s">
        <v>199</v>
      </c>
      <c r="C117" s="8" t="s">
        <v>22</v>
      </c>
      <c r="D117" s="8" t="s">
        <v>200</v>
      </c>
      <c r="E117" s="9">
        <v>0</v>
      </c>
      <c r="F117" s="8"/>
      <c r="G117" s="5">
        <v>0</v>
      </c>
      <c r="H117" s="8">
        <f t="shared" si="5"/>
        <v>0</v>
      </c>
      <c r="I117" s="8"/>
      <c r="J117" s="8"/>
      <c r="K117" s="8"/>
      <c r="L117" s="6">
        <v>1</v>
      </c>
      <c r="M117" s="9" t="str">
        <f t="shared" si="7"/>
        <v>⚠️ REORDER</v>
      </c>
    </row>
    <row r="118" spans="2:13" ht="16" x14ac:dyDescent="0.45">
      <c r="B118" s="9" t="s">
        <v>201</v>
      </c>
      <c r="C118" s="5" t="s">
        <v>22</v>
      </c>
      <c r="D118" s="5" t="s">
        <v>689</v>
      </c>
      <c r="E118" s="6">
        <v>1</v>
      </c>
      <c r="F118" s="5">
        <v>380</v>
      </c>
      <c r="G118" s="5">
        <v>550</v>
      </c>
      <c r="H118" s="8">
        <f t="shared" si="5"/>
        <v>550</v>
      </c>
      <c r="I118" s="5"/>
      <c r="J118" s="5"/>
      <c r="K118" s="5"/>
      <c r="L118" s="6">
        <v>1</v>
      </c>
      <c r="M118" s="9" t="str">
        <f t="shared" si="7"/>
        <v>⚠️ REORDER</v>
      </c>
    </row>
    <row r="119" spans="2:13" ht="16" x14ac:dyDescent="0.45">
      <c r="B119" s="9" t="s">
        <v>202</v>
      </c>
      <c r="C119" s="8" t="s">
        <v>31</v>
      </c>
      <c r="D119" s="8" t="s">
        <v>737</v>
      </c>
      <c r="E119" s="9">
        <v>2</v>
      </c>
      <c r="F119" s="8">
        <v>22</v>
      </c>
      <c r="G119" s="8">
        <v>50</v>
      </c>
      <c r="H119" s="8">
        <f t="shared" si="5"/>
        <v>100</v>
      </c>
      <c r="I119" s="8"/>
      <c r="J119" s="8"/>
      <c r="K119" s="8"/>
      <c r="L119" s="9">
        <v>1</v>
      </c>
      <c r="M119" s="9" t="str">
        <f t="shared" si="7"/>
        <v>✅ STABLE</v>
      </c>
    </row>
    <row r="120" spans="2:13" ht="16" x14ac:dyDescent="0.45">
      <c r="B120" s="9" t="s">
        <v>203</v>
      </c>
      <c r="C120" s="5" t="s">
        <v>31</v>
      </c>
      <c r="D120" s="5" t="s">
        <v>204</v>
      </c>
      <c r="E120" s="6">
        <v>0</v>
      </c>
      <c r="F120" s="5"/>
      <c r="G120" s="5">
        <v>0</v>
      </c>
      <c r="H120" s="8">
        <f t="shared" si="5"/>
        <v>0</v>
      </c>
      <c r="I120" s="5"/>
      <c r="J120" s="5"/>
      <c r="K120" s="5"/>
      <c r="L120" s="6">
        <v>1</v>
      </c>
      <c r="M120" s="6" t="str">
        <f t="shared" si="7"/>
        <v>⚠️ REORDER</v>
      </c>
    </row>
    <row r="121" spans="2:13" ht="16" x14ac:dyDescent="0.45">
      <c r="B121" s="9" t="s">
        <v>205</v>
      </c>
      <c r="C121" s="8" t="s">
        <v>28</v>
      </c>
      <c r="D121" s="8" t="s">
        <v>818</v>
      </c>
      <c r="E121" s="9">
        <v>3</v>
      </c>
      <c r="F121" s="8">
        <v>70</v>
      </c>
      <c r="G121" s="8">
        <v>150</v>
      </c>
      <c r="H121" s="8">
        <f t="shared" si="5"/>
        <v>450</v>
      </c>
      <c r="I121" s="8"/>
      <c r="J121" s="8"/>
      <c r="K121" s="8"/>
      <c r="L121" s="9">
        <v>1</v>
      </c>
      <c r="M121" s="9" t="str">
        <f t="shared" si="7"/>
        <v>✅ STABLE</v>
      </c>
    </row>
    <row r="122" spans="2:13" ht="16" x14ac:dyDescent="0.45">
      <c r="B122" s="9" t="s">
        <v>206</v>
      </c>
      <c r="C122" s="5" t="s">
        <v>31</v>
      </c>
      <c r="D122" s="5" t="s">
        <v>207</v>
      </c>
      <c r="E122" s="6">
        <v>10</v>
      </c>
      <c r="F122" s="5">
        <v>15</v>
      </c>
      <c r="G122" s="5">
        <v>100</v>
      </c>
      <c r="H122" s="8">
        <f t="shared" si="5"/>
        <v>1000</v>
      </c>
      <c r="I122" s="5"/>
      <c r="J122" s="5"/>
      <c r="K122" s="5"/>
      <c r="L122" s="6">
        <v>5</v>
      </c>
      <c r="M122" s="6" t="str">
        <f t="shared" si="7"/>
        <v>✅ STABLE</v>
      </c>
    </row>
    <row r="123" spans="2:13" ht="16" x14ac:dyDescent="0.45">
      <c r="B123" s="9" t="s">
        <v>208</v>
      </c>
      <c r="C123" s="8" t="s">
        <v>31</v>
      </c>
      <c r="D123" s="8" t="s">
        <v>209</v>
      </c>
      <c r="E123" s="9">
        <v>2</v>
      </c>
      <c r="F123" s="8">
        <v>110</v>
      </c>
      <c r="G123" s="8">
        <v>200</v>
      </c>
      <c r="H123" s="8">
        <f t="shared" si="5"/>
        <v>400</v>
      </c>
      <c r="I123" s="8"/>
      <c r="J123" s="8"/>
      <c r="K123" s="8"/>
      <c r="L123" s="9">
        <v>1</v>
      </c>
      <c r="M123" s="9" t="str">
        <f t="shared" si="7"/>
        <v>✅ STABLE</v>
      </c>
    </row>
    <row r="124" spans="2:13" ht="16" x14ac:dyDescent="0.45">
      <c r="B124" s="9" t="s">
        <v>210</v>
      </c>
      <c r="C124" s="5" t="s">
        <v>31</v>
      </c>
      <c r="D124" s="5" t="s">
        <v>688</v>
      </c>
      <c r="E124" s="6">
        <v>2</v>
      </c>
      <c r="F124" s="5">
        <v>125</v>
      </c>
      <c r="G124" s="5">
        <v>200</v>
      </c>
      <c r="H124" s="8">
        <f t="shared" si="5"/>
        <v>400</v>
      </c>
      <c r="I124" s="5"/>
      <c r="J124" s="5"/>
      <c r="K124" s="5"/>
      <c r="L124" s="9">
        <v>1</v>
      </c>
      <c r="M124" s="6" t="str">
        <f t="shared" si="7"/>
        <v>✅ STABLE</v>
      </c>
    </row>
    <row r="125" spans="2:13" ht="16" x14ac:dyDescent="0.45">
      <c r="B125" s="9" t="s">
        <v>211</v>
      </c>
      <c r="C125" s="8" t="s">
        <v>15</v>
      </c>
      <c r="D125" s="8" t="s">
        <v>681</v>
      </c>
      <c r="E125" s="9">
        <v>2</v>
      </c>
      <c r="F125" s="8">
        <v>65</v>
      </c>
      <c r="G125" s="8">
        <v>150</v>
      </c>
      <c r="H125" s="8">
        <f t="shared" si="5"/>
        <v>300</v>
      </c>
      <c r="I125" s="8"/>
      <c r="J125" s="8"/>
      <c r="K125" s="8"/>
      <c r="L125" s="9">
        <v>1</v>
      </c>
      <c r="M125" s="9" t="str">
        <f t="shared" si="7"/>
        <v>✅ STABLE</v>
      </c>
    </row>
    <row r="126" spans="2:13" ht="16" x14ac:dyDescent="0.45">
      <c r="B126" s="9" t="s">
        <v>212</v>
      </c>
      <c r="C126" s="5" t="s">
        <v>31</v>
      </c>
      <c r="D126" s="5" t="s">
        <v>213</v>
      </c>
      <c r="E126" s="6">
        <v>0</v>
      </c>
      <c r="F126" s="5"/>
      <c r="G126" s="5">
        <v>0</v>
      </c>
      <c r="H126" s="8">
        <f t="shared" si="5"/>
        <v>0</v>
      </c>
      <c r="I126" s="5"/>
      <c r="J126" s="5"/>
      <c r="K126" s="5"/>
      <c r="L126" s="6">
        <v>1</v>
      </c>
      <c r="M126" s="6" t="str">
        <f t="shared" si="7"/>
        <v>⚠️ REORDER</v>
      </c>
    </row>
    <row r="127" spans="2:13" ht="16" x14ac:dyDescent="0.45">
      <c r="B127" s="9" t="s">
        <v>214</v>
      </c>
      <c r="C127" s="8" t="s">
        <v>31</v>
      </c>
      <c r="D127" s="8" t="s">
        <v>1155</v>
      </c>
      <c r="E127" s="9">
        <v>1</v>
      </c>
      <c r="F127" s="8">
        <v>70</v>
      </c>
      <c r="G127" s="8">
        <v>150</v>
      </c>
      <c r="H127" s="8">
        <f t="shared" si="5"/>
        <v>150</v>
      </c>
      <c r="I127" s="8"/>
      <c r="J127" s="8"/>
      <c r="K127" s="8"/>
      <c r="L127" s="6">
        <v>1</v>
      </c>
      <c r="M127" s="9" t="str">
        <f t="shared" si="7"/>
        <v>⚠️ REORDER</v>
      </c>
    </row>
    <row r="128" spans="2:13" ht="16" x14ac:dyDescent="0.45">
      <c r="B128" s="9" t="s">
        <v>215</v>
      </c>
      <c r="C128" s="5" t="s">
        <v>31</v>
      </c>
      <c r="D128" s="5" t="s">
        <v>216</v>
      </c>
      <c r="E128" s="6">
        <v>0</v>
      </c>
      <c r="F128" s="5"/>
      <c r="G128" s="5">
        <v>0</v>
      </c>
      <c r="H128" s="8">
        <f t="shared" si="5"/>
        <v>0</v>
      </c>
      <c r="I128" s="5"/>
      <c r="J128" s="5"/>
      <c r="K128" s="5"/>
      <c r="L128" s="6">
        <v>1</v>
      </c>
      <c r="M128" s="6" t="str">
        <f t="shared" si="7"/>
        <v>⚠️ REORDER</v>
      </c>
    </row>
    <row r="129" spans="2:13" ht="16" x14ac:dyDescent="0.45">
      <c r="B129" s="9" t="s">
        <v>217</v>
      </c>
      <c r="C129" s="8" t="s">
        <v>31</v>
      </c>
      <c r="D129" s="8" t="s">
        <v>218</v>
      </c>
      <c r="E129" s="9">
        <v>0</v>
      </c>
      <c r="F129" s="8"/>
      <c r="G129" s="5">
        <v>0</v>
      </c>
      <c r="H129" s="8">
        <f t="shared" si="5"/>
        <v>0</v>
      </c>
      <c r="I129" s="8"/>
      <c r="J129" s="8"/>
      <c r="K129" s="8"/>
      <c r="L129" s="6">
        <v>1</v>
      </c>
      <c r="M129" s="9" t="str">
        <f t="shared" si="7"/>
        <v>⚠️ REORDER</v>
      </c>
    </row>
    <row r="130" spans="2:13" ht="16" x14ac:dyDescent="0.45">
      <c r="B130" s="9" t="s">
        <v>219</v>
      </c>
      <c r="C130" s="5" t="s">
        <v>31</v>
      </c>
      <c r="D130" s="5" t="s">
        <v>220</v>
      </c>
      <c r="E130" s="6">
        <v>0</v>
      </c>
      <c r="F130" s="5"/>
      <c r="G130" s="5">
        <v>0</v>
      </c>
      <c r="H130" s="8">
        <f t="shared" si="5"/>
        <v>0</v>
      </c>
      <c r="I130" s="5"/>
      <c r="J130" s="5"/>
      <c r="K130" s="5"/>
      <c r="L130" s="6">
        <v>1</v>
      </c>
      <c r="M130" s="6" t="str">
        <f t="shared" si="7"/>
        <v>⚠️ REORDER</v>
      </c>
    </row>
    <row r="131" spans="2:13" ht="16" x14ac:dyDescent="0.45">
      <c r="B131" s="9" t="s">
        <v>221</v>
      </c>
      <c r="C131" s="8" t="s">
        <v>31</v>
      </c>
      <c r="D131" s="8" t="s">
        <v>220</v>
      </c>
      <c r="E131" s="9">
        <v>0</v>
      </c>
      <c r="F131" s="8"/>
      <c r="G131" s="5">
        <v>0</v>
      </c>
      <c r="H131" s="8">
        <f t="shared" si="5"/>
        <v>0</v>
      </c>
      <c r="I131" s="8"/>
      <c r="J131" s="8"/>
      <c r="K131" s="8"/>
      <c r="L131" s="6">
        <v>1</v>
      </c>
      <c r="M131" s="9" t="str">
        <f t="shared" si="7"/>
        <v>⚠️ REORDER</v>
      </c>
    </row>
    <row r="132" spans="2:13" ht="16" x14ac:dyDescent="0.45">
      <c r="B132" s="9" t="s">
        <v>222</v>
      </c>
      <c r="C132" s="5" t="s">
        <v>31</v>
      </c>
      <c r="D132" s="5" t="s">
        <v>223</v>
      </c>
      <c r="E132" s="6">
        <v>0</v>
      </c>
      <c r="F132" s="5"/>
      <c r="G132" s="5">
        <v>0</v>
      </c>
      <c r="H132" s="8">
        <f t="shared" si="5"/>
        <v>0</v>
      </c>
      <c r="I132" s="5"/>
      <c r="J132" s="5"/>
      <c r="K132" s="5"/>
      <c r="L132" s="6">
        <v>1</v>
      </c>
      <c r="M132" s="6" t="str">
        <f t="shared" si="7"/>
        <v>⚠️ REORDER</v>
      </c>
    </row>
    <row r="133" spans="2:13" ht="16" x14ac:dyDescent="0.45">
      <c r="B133" s="9" t="s">
        <v>224</v>
      </c>
      <c r="C133" s="8" t="s">
        <v>28</v>
      </c>
      <c r="D133" s="8" t="s">
        <v>776</v>
      </c>
      <c r="E133" s="9">
        <v>0</v>
      </c>
      <c r="F133" s="8"/>
      <c r="G133" s="5">
        <v>0</v>
      </c>
      <c r="H133" s="8">
        <f t="shared" ref="H133:H196" si="8">E133*G133</f>
        <v>0</v>
      </c>
      <c r="I133" s="8"/>
      <c r="J133" s="8"/>
      <c r="K133" s="8"/>
      <c r="L133" s="6">
        <v>1</v>
      </c>
      <c r="M133" s="9" t="str">
        <f t="shared" si="7"/>
        <v>⚠️ REORDER</v>
      </c>
    </row>
    <row r="134" spans="2:13" ht="16" x14ac:dyDescent="0.45">
      <c r="B134" s="9" t="s">
        <v>225</v>
      </c>
      <c r="C134" s="5" t="s">
        <v>28</v>
      </c>
      <c r="D134" s="5" t="s">
        <v>774</v>
      </c>
      <c r="E134" s="6">
        <v>2</v>
      </c>
      <c r="F134" s="5">
        <v>95</v>
      </c>
      <c r="G134" s="5">
        <v>150</v>
      </c>
      <c r="H134" s="8">
        <f t="shared" si="8"/>
        <v>300</v>
      </c>
      <c r="I134" s="5"/>
      <c r="J134" s="5"/>
      <c r="K134" s="5"/>
      <c r="L134" s="6">
        <v>1</v>
      </c>
      <c r="M134" s="6" t="str">
        <f t="shared" si="7"/>
        <v>✅ STABLE</v>
      </c>
    </row>
    <row r="135" spans="2:13" ht="16" x14ac:dyDescent="0.45">
      <c r="B135" s="9" t="s">
        <v>226</v>
      </c>
      <c r="C135" s="8" t="s">
        <v>28</v>
      </c>
      <c r="D135" s="8" t="s">
        <v>775</v>
      </c>
      <c r="E135" s="9">
        <v>2</v>
      </c>
      <c r="F135" s="8">
        <v>70</v>
      </c>
      <c r="G135" s="8">
        <v>150</v>
      </c>
      <c r="H135" s="8">
        <f t="shared" si="8"/>
        <v>300</v>
      </c>
      <c r="I135" s="8"/>
      <c r="J135" s="8"/>
      <c r="K135" s="8"/>
      <c r="L135" s="9">
        <v>1</v>
      </c>
      <c r="M135" s="9" t="str">
        <f t="shared" si="7"/>
        <v>✅ STABLE</v>
      </c>
    </row>
    <row r="136" spans="2:13" ht="16" x14ac:dyDescent="0.45">
      <c r="B136" s="9" t="s">
        <v>825</v>
      </c>
      <c r="C136" s="8" t="s">
        <v>15</v>
      </c>
      <c r="D136" s="5" t="s">
        <v>900</v>
      </c>
      <c r="E136" s="6">
        <v>2</v>
      </c>
      <c r="F136" s="5">
        <v>25</v>
      </c>
      <c r="G136" s="5">
        <v>50</v>
      </c>
      <c r="H136" s="8">
        <f t="shared" si="8"/>
        <v>100</v>
      </c>
      <c r="I136" s="5"/>
      <c r="J136" s="5"/>
      <c r="K136" s="5"/>
      <c r="L136" s="6">
        <v>1</v>
      </c>
      <c r="M136" s="9" t="str">
        <f t="shared" si="7"/>
        <v>✅ STABLE</v>
      </c>
    </row>
    <row r="137" spans="2:13" ht="16" x14ac:dyDescent="0.45">
      <c r="B137" s="9" t="s">
        <v>227</v>
      </c>
      <c r="C137" s="8" t="s">
        <v>28</v>
      </c>
      <c r="D137" s="8" t="s">
        <v>228</v>
      </c>
      <c r="E137" s="9">
        <v>0</v>
      </c>
      <c r="F137" s="8"/>
      <c r="G137" s="5">
        <v>0</v>
      </c>
      <c r="H137" s="8">
        <f t="shared" si="8"/>
        <v>0</v>
      </c>
      <c r="I137" s="8"/>
      <c r="J137" s="8"/>
      <c r="K137" s="8"/>
      <c r="L137" s="6">
        <v>1</v>
      </c>
      <c r="M137" s="9" t="str">
        <f t="shared" ref="M137:M168" si="9">IF(E137&lt;=L137, "⚠️ REORDER", "✅ STABLE")</f>
        <v>⚠️ REORDER</v>
      </c>
    </row>
    <row r="138" spans="2:13" ht="16" x14ac:dyDescent="0.45">
      <c r="B138" s="9" t="s">
        <v>229</v>
      </c>
      <c r="C138" s="5" t="s">
        <v>14</v>
      </c>
      <c r="D138" s="5" t="s">
        <v>916</v>
      </c>
      <c r="E138" s="6">
        <v>28</v>
      </c>
      <c r="F138" s="5">
        <v>270</v>
      </c>
      <c r="G138" s="5">
        <v>12</v>
      </c>
      <c r="H138" s="8">
        <f t="shared" si="8"/>
        <v>336</v>
      </c>
      <c r="I138" s="5"/>
      <c r="J138" s="5"/>
      <c r="K138" s="5"/>
      <c r="L138" s="9">
        <v>1</v>
      </c>
      <c r="M138" s="6" t="str">
        <f t="shared" si="9"/>
        <v>✅ STABLE</v>
      </c>
    </row>
    <row r="139" spans="2:13" ht="16" x14ac:dyDescent="0.45">
      <c r="B139" s="9" t="s">
        <v>230</v>
      </c>
      <c r="C139" s="8" t="s">
        <v>14</v>
      </c>
      <c r="D139" s="8" t="s">
        <v>231</v>
      </c>
      <c r="E139" s="9">
        <v>20</v>
      </c>
      <c r="F139" s="8">
        <v>2</v>
      </c>
      <c r="G139" s="5">
        <v>5</v>
      </c>
      <c r="H139" s="8">
        <f t="shared" si="8"/>
        <v>100</v>
      </c>
      <c r="I139" s="8"/>
      <c r="J139" s="8"/>
      <c r="K139" s="8"/>
      <c r="L139" s="9">
        <v>1</v>
      </c>
      <c r="M139" s="9" t="str">
        <f t="shared" si="9"/>
        <v>✅ STABLE</v>
      </c>
    </row>
    <row r="140" spans="2:13" ht="16" x14ac:dyDescent="0.45">
      <c r="B140" s="9" t="s">
        <v>232</v>
      </c>
      <c r="C140" s="5" t="s">
        <v>14</v>
      </c>
      <c r="D140" s="5" t="s">
        <v>233</v>
      </c>
      <c r="E140" s="6">
        <v>0</v>
      </c>
      <c r="F140" s="5"/>
      <c r="G140" s="5">
        <v>0</v>
      </c>
      <c r="H140" s="8">
        <f t="shared" si="8"/>
        <v>0</v>
      </c>
      <c r="I140" s="5"/>
      <c r="J140" s="5"/>
      <c r="K140" s="5"/>
      <c r="L140" s="6">
        <v>1</v>
      </c>
      <c r="M140" s="6" t="str">
        <f t="shared" si="9"/>
        <v>⚠️ REORDER</v>
      </c>
    </row>
    <row r="141" spans="2:13" ht="16" x14ac:dyDescent="0.45">
      <c r="B141" s="9" t="s">
        <v>234</v>
      </c>
      <c r="C141" s="8" t="s">
        <v>14</v>
      </c>
      <c r="D141" s="8" t="s">
        <v>906</v>
      </c>
      <c r="E141" s="9">
        <v>28</v>
      </c>
      <c r="F141" s="8">
        <v>275</v>
      </c>
      <c r="G141" s="5">
        <v>12</v>
      </c>
      <c r="H141" s="8">
        <f t="shared" si="8"/>
        <v>336</v>
      </c>
      <c r="I141" s="8"/>
      <c r="J141" s="8"/>
      <c r="K141" s="8"/>
      <c r="L141" s="9">
        <v>1</v>
      </c>
      <c r="M141" s="9" t="str">
        <f t="shared" si="9"/>
        <v>✅ STABLE</v>
      </c>
    </row>
    <row r="142" spans="2:13" ht="16" x14ac:dyDescent="0.45">
      <c r="B142" s="9" t="s">
        <v>235</v>
      </c>
      <c r="C142" s="5" t="s">
        <v>14</v>
      </c>
      <c r="D142" s="5" t="s">
        <v>915</v>
      </c>
      <c r="E142" s="6">
        <v>0</v>
      </c>
      <c r="F142" s="5"/>
      <c r="G142" s="5">
        <v>0</v>
      </c>
      <c r="H142" s="8">
        <f t="shared" si="8"/>
        <v>0</v>
      </c>
      <c r="I142" s="5"/>
      <c r="J142" s="5"/>
      <c r="K142" s="5"/>
      <c r="L142" s="6">
        <v>1</v>
      </c>
      <c r="M142" s="6" t="str">
        <f t="shared" si="9"/>
        <v>⚠️ REORDER</v>
      </c>
    </row>
    <row r="143" spans="2:13" ht="16" x14ac:dyDescent="0.45">
      <c r="B143" s="9" t="s">
        <v>236</v>
      </c>
      <c r="C143" s="8" t="s">
        <v>14</v>
      </c>
      <c r="D143" s="8" t="s">
        <v>237</v>
      </c>
      <c r="E143" s="9">
        <v>0</v>
      </c>
      <c r="F143" s="8"/>
      <c r="G143" s="5">
        <v>0</v>
      </c>
      <c r="H143" s="8">
        <f t="shared" si="8"/>
        <v>0</v>
      </c>
      <c r="I143" s="8"/>
      <c r="J143" s="8"/>
      <c r="K143" s="8"/>
      <c r="L143" s="6">
        <v>1</v>
      </c>
      <c r="M143" s="9" t="str">
        <f t="shared" si="9"/>
        <v>⚠️ REORDER</v>
      </c>
    </row>
    <row r="144" spans="2:13" ht="16" x14ac:dyDescent="0.45">
      <c r="B144" s="9" t="s">
        <v>238</v>
      </c>
      <c r="C144" s="5" t="s">
        <v>14</v>
      </c>
      <c r="D144" s="5" t="s">
        <v>239</v>
      </c>
      <c r="E144" s="6">
        <v>0</v>
      </c>
      <c r="F144" s="5"/>
      <c r="G144" s="5">
        <v>0</v>
      </c>
      <c r="H144" s="8">
        <f t="shared" si="8"/>
        <v>0</v>
      </c>
      <c r="I144" s="5"/>
      <c r="J144" s="5"/>
      <c r="K144" s="5"/>
      <c r="L144" s="6">
        <v>1</v>
      </c>
      <c r="M144" s="6" t="str">
        <f t="shared" si="9"/>
        <v>⚠️ REORDER</v>
      </c>
    </row>
    <row r="145" spans="2:13" ht="16" x14ac:dyDescent="0.45">
      <c r="B145" s="9" t="s">
        <v>240</v>
      </c>
      <c r="C145" s="8" t="s">
        <v>14</v>
      </c>
      <c r="D145" s="8" t="s">
        <v>1150</v>
      </c>
      <c r="E145" s="9">
        <v>30</v>
      </c>
      <c r="F145" s="8">
        <v>7</v>
      </c>
      <c r="G145" s="5">
        <v>10</v>
      </c>
      <c r="H145" s="8">
        <f t="shared" si="8"/>
        <v>300</v>
      </c>
      <c r="I145" s="8"/>
      <c r="J145" s="8"/>
      <c r="K145" s="8"/>
      <c r="L145" s="9">
        <v>1</v>
      </c>
      <c r="M145" s="9" t="str">
        <f t="shared" si="9"/>
        <v>✅ STABLE</v>
      </c>
    </row>
    <row r="146" spans="2:13" ht="16" x14ac:dyDescent="0.45">
      <c r="B146" s="9" t="s">
        <v>241</v>
      </c>
      <c r="C146" s="5" t="s">
        <v>14</v>
      </c>
      <c r="D146" s="5" t="s">
        <v>242</v>
      </c>
      <c r="E146" s="6">
        <v>0</v>
      </c>
      <c r="F146" s="5"/>
      <c r="G146" s="5">
        <v>0</v>
      </c>
      <c r="H146" s="8">
        <f t="shared" si="8"/>
        <v>0</v>
      </c>
      <c r="I146" s="5"/>
      <c r="J146" s="5"/>
      <c r="K146" s="5"/>
      <c r="L146" s="6">
        <v>1</v>
      </c>
      <c r="M146" s="6" t="str">
        <f t="shared" si="9"/>
        <v>⚠️ REORDER</v>
      </c>
    </row>
    <row r="147" spans="2:13" ht="16" x14ac:dyDescent="0.45">
      <c r="B147" s="9" t="s">
        <v>243</v>
      </c>
      <c r="C147" s="8" t="s">
        <v>14</v>
      </c>
      <c r="D147" s="8" t="s">
        <v>244</v>
      </c>
      <c r="E147" s="9">
        <v>30</v>
      </c>
      <c r="F147" s="8"/>
      <c r="G147" s="5">
        <v>5</v>
      </c>
      <c r="H147" s="8">
        <f t="shared" si="8"/>
        <v>150</v>
      </c>
      <c r="I147" s="8"/>
      <c r="J147" s="8"/>
      <c r="K147" s="8"/>
      <c r="L147" s="9">
        <v>1</v>
      </c>
      <c r="M147" s="9" t="str">
        <f t="shared" si="9"/>
        <v>✅ STABLE</v>
      </c>
    </row>
    <row r="148" spans="2:13" ht="16" x14ac:dyDescent="0.45">
      <c r="B148" s="9" t="s">
        <v>245</v>
      </c>
      <c r="C148" s="5" t="s">
        <v>14</v>
      </c>
      <c r="D148" s="5" t="s">
        <v>246</v>
      </c>
      <c r="E148" s="6">
        <v>20</v>
      </c>
      <c r="F148" s="5"/>
      <c r="G148" s="5">
        <v>5</v>
      </c>
      <c r="H148" s="8">
        <f t="shared" si="8"/>
        <v>100</v>
      </c>
      <c r="I148" s="5"/>
      <c r="J148" s="5"/>
      <c r="K148" s="5"/>
      <c r="L148" s="9">
        <v>1</v>
      </c>
      <c r="M148" s="6" t="str">
        <f t="shared" si="9"/>
        <v>✅ STABLE</v>
      </c>
    </row>
    <row r="149" spans="2:13" ht="16" x14ac:dyDescent="0.45">
      <c r="B149" s="9" t="s">
        <v>247</v>
      </c>
      <c r="C149" s="8" t="s">
        <v>14</v>
      </c>
      <c r="D149" s="8" t="s">
        <v>248</v>
      </c>
      <c r="E149" s="9">
        <v>0</v>
      </c>
      <c r="F149" s="8"/>
      <c r="G149" s="5">
        <v>0</v>
      </c>
      <c r="H149" s="8">
        <f t="shared" si="8"/>
        <v>0</v>
      </c>
      <c r="I149" s="8"/>
      <c r="J149" s="8"/>
      <c r="K149" s="8"/>
      <c r="L149" s="6">
        <v>1</v>
      </c>
      <c r="M149" s="9" t="str">
        <f t="shared" si="9"/>
        <v>⚠️ REORDER</v>
      </c>
    </row>
    <row r="150" spans="2:13" ht="16" x14ac:dyDescent="0.45">
      <c r="B150" s="9" t="s">
        <v>249</v>
      </c>
      <c r="C150" s="5" t="s">
        <v>14</v>
      </c>
      <c r="D150" s="5" t="s">
        <v>250</v>
      </c>
      <c r="E150" s="6">
        <v>0</v>
      </c>
      <c r="F150" s="5"/>
      <c r="G150" s="5">
        <v>0</v>
      </c>
      <c r="H150" s="8">
        <f t="shared" si="8"/>
        <v>0</v>
      </c>
      <c r="I150" s="5"/>
      <c r="J150" s="5"/>
      <c r="K150" s="5"/>
      <c r="L150" s="6">
        <v>1</v>
      </c>
      <c r="M150" s="6" t="str">
        <f t="shared" si="9"/>
        <v>⚠️ REORDER</v>
      </c>
    </row>
    <row r="151" spans="2:13" ht="16" x14ac:dyDescent="0.45">
      <c r="B151" s="9" t="s">
        <v>251</v>
      </c>
      <c r="C151" s="8" t="s">
        <v>24</v>
      </c>
      <c r="D151" s="8" t="s">
        <v>252</v>
      </c>
      <c r="E151" s="9">
        <v>28</v>
      </c>
      <c r="F151" s="8">
        <v>4.5</v>
      </c>
      <c r="G151" s="5">
        <v>5</v>
      </c>
      <c r="H151" s="8">
        <f t="shared" si="8"/>
        <v>140</v>
      </c>
      <c r="I151" s="8"/>
      <c r="J151" s="8"/>
      <c r="K151" s="8"/>
      <c r="L151" s="9">
        <v>1</v>
      </c>
      <c r="M151" s="9" t="str">
        <f t="shared" si="9"/>
        <v>✅ STABLE</v>
      </c>
    </row>
    <row r="152" spans="2:13" ht="16" x14ac:dyDescent="0.45">
      <c r="B152" s="9" t="s">
        <v>253</v>
      </c>
      <c r="C152" s="5" t="s">
        <v>24</v>
      </c>
      <c r="D152" s="5" t="s">
        <v>254</v>
      </c>
      <c r="E152" s="6">
        <v>25</v>
      </c>
      <c r="F152" s="5">
        <v>5.5</v>
      </c>
      <c r="G152" s="5">
        <v>10</v>
      </c>
      <c r="H152" s="8">
        <f t="shared" si="8"/>
        <v>250</v>
      </c>
      <c r="I152" s="5"/>
      <c r="J152" s="5"/>
      <c r="K152" s="5"/>
      <c r="L152" s="9">
        <v>1</v>
      </c>
      <c r="M152" s="6" t="str">
        <f t="shared" si="9"/>
        <v>✅ STABLE</v>
      </c>
    </row>
    <row r="153" spans="2:13" ht="16" x14ac:dyDescent="0.45">
      <c r="B153" s="9" t="s">
        <v>255</v>
      </c>
      <c r="C153" s="8" t="s">
        <v>24</v>
      </c>
      <c r="D153" s="8" t="s">
        <v>256</v>
      </c>
      <c r="E153" s="9">
        <v>0</v>
      </c>
      <c r="F153" s="8"/>
      <c r="G153" s="5">
        <v>0</v>
      </c>
      <c r="H153" s="8">
        <f t="shared" si="8"/>
        <v>0</v>
      </c>
      <c r="I153" s="8"/>
      <c r="J153" s="8"/>
      <c r="K153" s="8"/>
      <c r="L153" s="6">
        <v>1</v>
      </c>
      <c r="M153" s="9" t="str">
        <f t="shared" si="9"/>
        <v>⚠️ REORDER</v>
      </c>
    </row>
    <row r="154" spans="2:13" ht="16" x14ac:dyDescent="0.45">
      <c r="B154" s="9" t="s">
        <v>257</v>
      </c>
      <c r="C154" s="5" t="s">
        <v>24</v>
      </c>
      <c r="D154" s="5" t="s">
        <v>258</v>
      </c>
      <c r="E154" s="6">
        <v>0</v>
      </c>
      <c r="F154" s="5"/>
      <c r="G154" s="5">
        <v>0</v>
      </c>
      <c r="H154" s="8">
        <f t="shared" si="8"/>
        <v>0</v>
      </c>
      <c r="I154" s="5"/>
      <c r="J154" s="5"/>
      <c r="K154" s="5"/>
      <c r="L154" s="6">
        <v>1</v>
      </c>
      <c r="M154" s="6" t="str">
        <f t="shared" si="9"/>
        <v>⚠️ REORDER</v>
      </c>
    </row>
    <row r="155" spans="2:13" ht="16" x14ac:dyDescent="0.45">
      <c r="B155" s="9" t="s">
        <v>259</v>
      </c>
      <c r="C155" s="8" t="s">
        <v>24</v>
      </c>
      <c r="D155" s="8" t="s">
        <v>260</v>
      </c>
      <c r="E155" s="9">
        <v>0</v>
      </c>
      <c r="F155" s="8"/>
      <c r="G155" s="5">
        <v>0</v>
      </c>
      <c r="H155" s="8">
        <f t="shared" si="8"/>
        <v>0</v>
      </c>
      <c r="I155" s="8"/>
      <c r="J155" s="8"/>
      <c r="K155" s="8"/>
      <c r="L155" s="6">
        <v>1</v>
      </c>
      <c r="M155" s="9" t="str">
        <f t="shared" si="9"/>
        <v>⚠️ REORDER</v>
      </c>
    </row>
    <row r="156" spans="2:13" ht="16" x14ac:dyDescent="0.45">
      <c r="B156" s="9" t="s">
        <v>261</v>
      </c>
      <c r="C156" s="5" t="s">
        <v>24</v>
      </c>
      <c r="D156" s="5" t="s">
        <v>262</v>
      </c>
      <c r="E156" s="6">
        <v>0</v>
      </c>
      <c r="F156" s="5"/>
      <c r="G156" s="5">
        <v>0</v>
      </c>
      <c r="H156" s="8">
        <f t="shared" si="8"/>
        <v>0</v>
      </c>
      <c r="I156" s="5"/>
      <c r="J156" s="5"/>
      <c r="K156" s="5"/>
      <c r="L156" s="6">
        <v>1</v>
      </c>
      <c r="M156" s="6" t="str">
        <f t="shared" si="9"/>
        <v>⚠️ REORDER</v>
      </c>
    </row>
    <row r="157" spans="2:13" ht="16" x14ac:dyDescent="0.45">
      <c r="B157" s="9" t="s">
        <v>263</v>
      </c>
      <c r="C157" s="8" t="s">
        <v>24</v>
      </c>
      <c r="D157" s="8" t="s">
        <v>264</v>
      </c>
      <c r="E157" s="9">
        <v>0</v>
      </c>
      <c r="F157" s="8"/>
      <c r="G157" s="5">
        <v>0</v>
      </c>
      <c r="H157" s="8">
        <f t="shared" si="8"/>
        <v>0</v>
      </c>
      <c r="I157" s="8"/>
      <c r="J157" s="8"/>
      <c r="K157" s="8"/>
      <c r="L157" s="6">
        <v>1</v>
      </c>
      <c r="M157" s="9" t="str">
        <f t="shared" si="9"/>
        <v>⚠️ REORDER</v>
      </c>
    </row>
    <row r="158" spans="2:13" ht="16" x14ac:dyDescent="0.45">
      <c r="B158" s="9" t="s">
        <v>265</v>
      </c>
      <c r="C158" s="5" t="s">
        <v>24</v>
      </c>
      <c r="D158" s="5" t="s">
        <v>266</v>
      </c>
      <c r="E158" s="6">
        <v>28</v>
      </c>
      <c r="F158" s="5">
        <v>5.5</v>
      </c>
      <c r="G158" s="5">
        <v>7</v>
      </c>
      <c r="H158" s="8">
        <f t="shared" si="8"/>
        <v>196</v>
      </c>
      <c r="I158" s="5"/>
      <c r="J158" s="5"/>
      <c r="K158" s="5"/>
      <c r="L158" s="9">
        <v>1</v>
      </c>
      <c r="M158" s="6" t="str">
        <f t="shared" si="9"/>
        <v>✅ STABLE</v>
      </c>
    </row>
    <row r="159" spans="2:13" ht="16" x14ac:dyDescent="0.45">
      <c r="B159" s="9" t="s">
        <v>267</v>
      </c>
      <c r="C159" s="8" t="s">
        <v>34</v>
      </c>
      <c r="D159" s="8" t="s">
        <v>909</v>
      </c>
      <c r="E159" s="9">
        <v>20</v>
      </c>
      <c r="F159" s="8">
        <v>16</v>
      </c>
      <c r="G159" s="8">
        <v>20</v>
      </c>
      <c r="H159" s="8">
        <f t="shared" si="8"/>
        <v>400</v>
      </c>
      <c r="I159" s="8"/>
      <c r="J159" s="8"/>
      <c r="K159" s="8"/>
      <c r="L159" s="9">
        <v>5</v>
      </c>
      <c r="M159" s="9" t="str">
        <f t="shared" si="9"/>
        <v>✅ STABLE</v>
      </c>
    </row>
    <row r="160" spans="2:13" ht="16" x14ac:dyDescent="0.45">
      <c r="B160" s="9" t="s">
        <v>268</v>
      </c>
      <c r="C160" s="5" t="s">
        <v>34</v>
      </c>
      <c r="D160" s="5" t="s">
        <v>1151</v>
      </c>
      <c r="E160" s="6">
        <v>0</v>
      </c>
      <c r="F160" s="5"/>
      <c r="G160" s="5">
        <v>0</v>
      </c>
      <c r="H160" s="8">
        <f t="shared" si="8"/>
        <v>0</v>
      </c>
      <c r="I160" s="5"/>
      <c r="J160" s="5"/>
      <c r="K160" s="5"/>
      <c r="L160" s="6">
        <v>1</v>
      </c>
      <c r="M160" s="6" t="str">
        <f t="shared" si="9"/>
        <v>⚠️ REORDER</v>
      </c>
    </row>
    <row r="161" spans="2:13" ht="16" x14ac:dyDescent="0.45">
      <c r="B161" s="9" t="s">
        <v>269</v>
      </c>
      <c r="C161" s="8" t="s">
        <v>34</v>
      </c>
      <c r="D161" s="8" t="s">
        <v>716</v>
      </c>
      <c r="E161" s="9">
        <v>50</v>
      </c>
      <c r="F161" s="8">
        <v>3.5</v>
      </c>
      <c r="G161" s="8">
        <v>10</v>
      </c>
      <c r="H161" s="8">
        <f t="shared" si="8"/>
        <v>500</v>
      </c>
      <c r="I161" s="8"/>
      <c r="J161" s="8"/>
      <c r="K161" s="8"/>
      <c r="L161" s="9">
        <v>5</v>
      </c>
      <c r="M161" s="9" t="str">
        <f t="shared" si="9"/>
        <v>✅ STABLE</v>
      </c>
    </row>
    <row r="162" spans="2:13" ht="16" x14ac:dyDescent="0.45">
      <c r="B162" s="9" t="s">
        <v>270</v>
      </c>
      <c r="C162" s="5" t="s">
        <v>34</v>
      </c>
      <c r="D162" s="5" t="s">
        <v>271</v>
      </c>
      <c r="E162" s="6">
        <v>0</v>
      </c>
      <c r="F162" s="5"/>
      <c r="G162" s="5">
        <v>0</v>
      </c>
      <c r="H162" s="8">
        <f t="shared" si="8"/>
        <v>0</v>
      </c>
      <c r="I162" s="5"/>
      <c r="J162" s="5"/>
      <c r="K162" s="5"/>
      <c r="L162" s="6">
        <v>1</v>
      </c>
      <c r="M162" s="6" t="str">
        <f t="shared" si="9"/>
        <v>⚠️ REORDER</v>
      </c>
    </row>
    <row r="163" spans="2:13" ht="16" x14ac:dyDescent="0.45">
      <c r="B163" s="9" t="s">
        <v>272</v>
      </c>
      <c r="C163" s="8" t="s">
        <v>34</v>
      </c>
      <c r="D163" s="8" t="s">
        <v>777</v>
      </c>
      <c r="E163" s="9">
        <v>100</v>
      </c>
      <c r="F163" s="8">
        <v>120</v>
      </c>
      <c r="G163" s="8">
        <v>5</v>
      </c>
      <c r="H163" s="8">
        <f t="shared" si="8"/>
        <v>500</v>
      </c>
      <c r="I163" s="8"/>
      <c r="J163" s="8"/>
      <c r="K163" s="8"/>
      <c r="L163" s="9">
        <v>5</v>
      </c>
      <c r="M163" s="9" t="str">
        <f t="shared" si="9"/>
        <v>✅ STABLE</v>
      </c>
    </row>
    <row r="164" spans="2:13" ht="16" x14ac:dyDescent="0.45">
      <c r="B164" s="9" t="s">
        <v>273</v>
      </c>
      <c r="C164" s="5" t="s">
        <v>34</v>
      </c>
      <c r="D164" s="5" t="s">
        <v>712</v>
      </c>
      <c r="E164" s="6">
        <v>22</v>
      </c>
      <c r="F164" s="5">
        <v>3</v>
      </c>
      <c r="G164" s="5">
        <v>5</v>
      </c>
      <c r="H164" s="8">
        <f t="shared" si="8"/>
        <v>110</v>
      </c>
      <c r="I164" s="5"/>
      <c r="J164" s="5"/>
      <c r="K164" s="5"/>
      <c r="L164" s="6">
        <v>5</v>
      </c>
      <c r="M164" s="6" t="str">
        <f t="shared" si="9"/>
        <v>✅ STABLE</v>
      </c>
    </row>
    <row r="165" spans="2:13" ht="16" x14ac:dyDescent="0.45">
      <c r="B165" s="9" t="s">
        <v>274</v>
      </c>
      <c r="C165" s="8" t="s">
        <v>34</v>
      </c>
      <c r="D165" s="8" t="s">
        <v>1114</v>
      </c>
      <c r="E165" s="9">
        <v>30</v>
      </c>
      <c r="F165" s="8">
        <v>126</v>
      </c>
      <c r="G165" s="5">
        <v>10</v>
      </c>
      <c r="H165" s="8">
        <f t="shared" si="8"/>
        <v>300</v>
      </c>
      <c r="I165" s="8"/>
      <c r="J165" s="8"/>
      <c r="K165" s="8"/>
      <c r="L165" s="9">
        <v>1</v>
      </c>
      <c r="M165" s="9" t="str">
        <f t="shared" si="9"/>
        <v>✅ STABLE</v>
      </c>
    </row>
    <row r="166" spans="2:13" ht="16" x14ac:dyDescent="0.45">
      <c r="B166" s="9" t="s">
        <v>275</v>
      </c>
      <c r="C166" s="5" t="s">
        <v>34</v>
      </c>
      <c r="D166" s="22" t="s">
        <v>982</v>
      </c>
      <c r="E166" s="6">
        <v>100</v>
      </c>
      <c r="F166" s="5">
        <v>65</v>
      </c>
      <c r="G166" s="5">
        <v>5</v>
      </c>
      <c r="H166" s="8">
        <f t="shared" si="8"/>
        <v>500</v>
      </c>
      <c r="I166" s="5"/>
      <c r="J166" s="5"/>
      <c r="K166" s="5"/>
      <c r="L166" s="9">
        <v>1</v>
      </c>
      <c r="M166" s="6" t="str">
        <f t="shared" si="9"/>
        <v>✅ STABLE</v>
      </c>
    </row>
    <row r="167" spans="2:13" ht="16" x14ac:dyDescent="0.45">
      <c r="B167" s="9" t="s">
        <v>276</v>
      </c>
      <c r="C167" s="8" t="s">
        <v>34</v>
      </c>
      <c r="D167" s="8" t="s">
        <v>1152</v>
      </c>
      <c r="E167" s="9">
        <v>100</v>
      </c>
      <c r="F167" s="8"/>
      <c r="G167" s="5">
        <v>0</v>
      </c>
      <c r="H167" s="8">
        <f t="shared" si="8"/>
        <v>0</v>
      </c>
      <c r="I167" s="8"/>
      <c r="J167" s="8"/>
      <c r="K167" s="8"/>
      <c r="L167" s="6">
        <v>1</v>
      </c>
      <c r="M167" s="9" t="str">
        <f t="shared" si="9"/>
        <v>✅ STABLE</v>
      </c>
    </row>
    <row r="168" spans="2:13" ht="16" x14ac:dyDescent="0.45">
      <c r="B168" s="9" t="s">
        <v>277</v>
      </c>
      <c r="C168" s="5" t="s">
        <v>34</v>
      </c>
      <c r="D168" s="5" t="s">
        <v>278</v>
      </c>
      <c r="E168" s="6">
        <v>0</v>
      </c>
      <c r="F168" s="5"/>
      <c r="G168" s="5">
        <v>0</v>
      </c>
      <c r="H168" s="8">
        <f t="shared" si="8"/>
        <v>0</v>
      </c>
      <c r="I168" s="5"/>
      <c r="J168" s="5"/>
      <c r="K168" s="5"/>
      <c r="L168" s="6">
        <v>1</v>
      </c>
      <c r="M168" s="6" t="str">
        <f t="shared" si="9"/>
        <v>⚠️ REORDER</v>
      </c>
    </row>
    <row r="169" spans="2:13" ht="16" x14ac:dyDescent="0.45">
      <c r="B169" s="9" t="s">
        <v>279</v>
      </c>
      <c r="C169" s="8" t="s">
        <v>34</v>
      </c>
      <c r="D169" s="8" t="s">
        <v>803</v>
      </c>
      <c r="E169" s="9">
        <v>30</v>
      </c>
      <c r="F169" s="8">
        <v>70</v>
      </c>
      <c r="G169" s="8">
        <v>2</v>
      </c>
      <c r="H169" s="8">
        <f t="shared" si="8"/>
        <v>60</v>
      </c>
      <c r="I169" s="8"/>
      <c r="J169" s="8"/>
      <c r="K169" s="8"/>
      <c r="L169" s="9">
        <v>5</v>
      </c>
      <c r="M169" s="9" t="str">
        <f t="shared" ref="M169:M197" si="10">IF(E169&lt;=L169, "⚠️ REORDER", "✅ STABLE")</f>
        <v>✅ STABLE</v>
      </c>
    </row>
    <row r="170" spans="2:13" ht="16" x14ac:dyDescent="0.45">
      <c r="B170" s="9" t="s">
        <v>280</v>
      </c>
      <c r="C170" s="5" t="s">
        <v>34</v>
      </c>
      <c r="D170" s="5" t="s">
        <v>717</v>
      </c>
      <c r="E170" s="6">
        <v>50</v>
      </c>
      <c r="F170" s="5">
        <v>325</v>
      </c>
      <c r="G170" s="5">
        <v>10</v>
      </c>
      <c r="H170" s="8">
        <f t="shared" si="8"/>
        <v>500</v>
      </c>
      <c r="I170" s="5"/>
      <c r="J170" s="5"/>
      <c r="K170" s="5"/>
      <c r="L170" s="6">
        <v>5</v>
      </c>
      <c r="M170" s="6" t="str">
        <f t="shared" si="10"/>
        <v>✅ STABLE</v>
      </c>
    </row>
    <row r="171" spans="2:13" ht="16" x14ac:dyDescent="0.45">
      <c r="B171" s="9" t="s">
        <v>281</v>
      </c>
      <c r="C171" s="8" t="s">
        <v>34</v>
      </c>
      <c r="D171" s="8" t="s">
        <v>282</v>
      </c>
      <c r="E171" s="9">
        <v>0</v>
      </c>
      <c r="F171" s="8"/>
      <c r="G171" s="5">
        <v>0</v>
      </c>
      <c r="H171" s="8">
        <f t="shared" si="8"/>
        <v>0</v>
      </c>
      <c r="I171" s="8"/>
      <c r="J171" s="8"/>
      <c r="K171" s="8"/>
      <c r="L171" s="6">
        <v>1</v>
      </c>
      <c r="M171" s="9" t="str">
        <f t="shared" si="10"/>
        <v>⚠️ REORDER</v>
      </c>
    </row>
    <row r="172" spans="2:13" ht="16" x14ac:dyDescent="0.45">
      <c r="B172" s="9" t="s">
        <v>283</v>
      </c>
      <c r="C172" s="5" t="s">
        <v>34</v>
      </c>
      <c r="D172" s="5" t="s">
        <v>284</v>
      </c>
      <c r="E172" s="6">
        <v>0</v>
      </c>
      <c r="F172" s="5"/>
      <c r="G172" s="5">
        <v>0</v>
      </c>
      <c r="H172" s="8">
        <f t="shared" si="8"/>
        <v>0</v>
      </c>
      <c r="I172" s="5"/>
      <c r="J172" s="5"/>
      <c r="K172" s="5"/>
      <c r="L172" s="6">
        <v>1</v>
      </c>
      <c r="M172" s="6" t="str">
        <f t="shared" si="10"/>
        <v>⚠️ REORDER</v>
      </c>
    </row>
    <row r="173" spans="2:13" ht="16" x14ac:dyDescent="0.45">
      <c r="B173" s="9" t="s">
        <v>285</v>
      </c>
      <c r="C173" s="8" t="s">
        <v>34</v>
      </c>
      <c r="D173" s="8" t="s">
        <v>286</v>
      </c>
      <c r="E173" s="9">
        <v>0</v>
      </c>
      <c r="F173" s="8">
        <v>12</v>
      </c>
      <c r="G173" s="5">
        <v>20</v>
      </c>
      <c r="H173" s="8">
        <f t="shared" si="8"/>
        <v>0</v>
      </c>
      <c r="I173" s="8"/>
      <c r="J173" s="8"/>
      <c r="K173" s="8"/>
      <c r="L173" s="9">
        <v>1</v>
      </c>
      <c r="M173" s="9" t="str">
        <f t="shared" si="10"/>
        <v>⚠️ REORDER</v>
      </c>
    </row>
    <row r="174" spans="2:13" ht="16" x14ac:dyDescent="0.45">
      <c r="B174" s="9" t="s">
        <v>287</v>
      </c>
      <c r="C174" s="5" t="s">
        <v>34</v>
      </c>
      <c r="D174" s="5" t="s">
        <v>288</v>
      </c>
      <c r="E174" s="6">
        <v>0</v>
      </c>
      <c r="F174" s="5"/>
      <c r="G174" s="5">
        <v>0</v>
      </c>
      <c r="H174" s="8">
        <f t="shared" si="8"/>
        <v>0</v>
      </c>
      <c r="I174" s="5"/>
      <c r="J174" s="5"/>
      <c r="K174" s="5"/>
      <c r="L174" s="6">
        <v>1</v>
      </c>
      <c r="M174" s="6" t="str">
        <f t="shared" si="10"/>
        <v>⚠️ REORDER</v>
      </c>
    </row>
    <row r="175" spans="2:13" ht="16" x14ac:dyDescent="0.45">
      <c r="B175" s="9" t="s">
        <v>289</v>
      </c>
      <c r="C175" s="8" t="s">
        <v>34</v>
      </c>
      <c r="D175" s="8" t="s">
        <v>290</v>
      </c>
      <c r="E175" s="9">
        <v>0</v>
      </c>
      <c r="F175" s="8"/>
      <c r="G175" s="5">
        <v>0</v>
      </c>
      <c r="H175" s="8">
        <f t="shared" si="8"/>
        <v>0</v>
      </c>
      <c r="I175" s="8"/>
      <c r="J175" s="8"/>
      <c r="K175" s="8"/>
      <c r="L175" s="6">
        <v>1</v>
      </c>
      <c r="M175" s="9" t="str">
        <f t="shared" si="10"/>
        <v>⚠️ REORDER</v>
      </c>
    </row>
    <row r="176" spans="2:13" ht="16" x14ac:dyDescent="0.45">
      <c r="B176" s="9" t="s">
        <v>291</v>
      </c>
      <c r="C176" s="5" t="s">
        <v>34</v>
      </c>
      <c r="D176" s="5" t="s">
        <v>292</v>
      </c>
      <c r="E176" s="6">
        <v>0</v>
      </c>
      <c r="F176" s="5"/>
      <c r="G176" s="5">
        <v>0</v>
      </c>
      <c r="H176" s="8">
        <f t="shared" si="8"/>
        <v>0</v>
      </c>
      <c r="I176" s="5"/>
      <c r="J176" s="5"/>
      <c r="K176" s="5"/>
      <c r="L176" s="6">
        <v>1</v>
      </c>
      <c r="M176" s="6" t="str">
        <f t="shared" si="10"/>
        <v>⚠️ REORDER</v>
      </c>
    </row>
    <row r="177" spans="2:13" ht="16" x14ac:dyDescent="0.45">
      <c r="B177" s="9" t="s">
        <v>293</v>
      </c>
      <c r="C177" s="8" t="s">
        <v>34</v>
      </c>
      <c r="D177" s="8" t="s">
        <v>813</v>
      </c>
      <c r="E177" s="9">
        <v>10</v>
      </c>
      <c r="F177" s="8">
        <v>6</v>
      </c>
      <c r="G177" s="8">
        <v>15</v>
      </c>
      <c r="H177" s="8">
        <f t="shared" si="8"/>
        <v>150</v>
      </c>
      <c r="I177" s="8"/>
      <c r="J177" s="8"/>
      <c r="K177" s="8"/>
      <c r="L177" s="9">
        <v>5</v>
      </c>
      <c r="M177" s="9" t="str">
        <f t="shared" si="10"/>
        <v>✅ STABLE</v>
      </c>
    </row>
    <row r="178" spans="2:13" ht="16" x14ac:dyDescent="0.45">
      <c r="B178" s="9" t="s">
        <v>294</v>
      </c>
      <c r="C178" s="5" t="s">
        <v>34</v>
      </c>
      <c r="D178" s="5" t="s">
        <v>295</v>
      </c>
      <c r="E178" s="6">
        <v>19</v>
      </c>
      <c r="F178" s="5">
        <v>20</v>
      </c>
      <c r="G178" s="5">
        <v>30</v>
      </c>
      <c r="H178" s="8">
        <f t="shared" si="8"/>
        <v>570</v>
      </c>
      <c r="I178" s="5"/>
      <c r="J178" s="5"/>
      <c r="K178" s="5"/>
      <c r="L178" s="6">
        <v>5</v>
      </c>
      <c r="M178" s="6" t="str">
        <f t="shared" si="10"/>
        <v>✅ STABLE</v>
      </c>
    </row>
    <row r="179" spans="2:13" ht="16" x14ac:dyDescent="0.45">
      <c r="B179" s="9" t="s">
        <v>296</v>
      </c>
      <c r="C179" s="8" t="s">
        <v>34</v>
      </c>
      <c r="D179" s="8" t="s">
        <v>297</v>
      </c>
      <c r="E179" s="9">
        <v>10</v>
      </c>
      <c r="F179" s="8">
        <v>15</v>
      </c>
      <c r="G179" s="8">
        <v>20</v>
      </c>
      <c r="H179" s="8">
        <f t="shared" si="8"/>
        <v>200</v>
      </c>
      <c r="I179" s="8"/>
      <c r="J179" s="8"/>
      <c r="K179" s="8"/>
      <c r="L179" s="9">
        <v>2</v>
      </c>
      <c r="M179" s="9" t="str">
        <f t="shared" si="10"/>
        <v>✅ STABLE</v>
      </c>
    </row>
    <row r="180" spans="2:13" ht="16" x14ac:dyDescent="0.45">
      <c r="B180" s="9" t="s">
        <v>298</v>
      </c>
      <c r="C180" s="5" t="s">
        <v>34</v>
      </c>
      <c r="D180" s="5" t="s">
        <v>778</v>
      </c>
      <c r="E180" s="6">
        <v>30</v>
      </c>
      <c r="F180" s="5">
        <v>7</v>
      </c>
      <c r="G180" s="5">
        <v>15</v>
      </c>
      <c r="H180" s="8">
        <f t="shared" si="8"/>
        <v>450</v>
      </c>
      <c r="I180" s="5"/>
      <c r="J180" s="5"/>
      <c r="K180" s="5"/>
      <c r="L180" s="6">
        <v>5</v>
      </c>
      <c r="M180" s="6" t="str">
        <f t="shared" si="10"/>
        <v>✅ STABLE</v>
      </c>
    </row>
    <row r="181" spans="2:13" ht="16" x14ac:dyDescent="0.45">
      <c r="B181" s="9" t="s">
        <v>299</v>
      </c>
      <c r="C181" s="8" t="s">
        <v>34</v>
      </c>
      <c r="D181" s="8" t="s">
        <v>300</v>
      </c>
      <c r="E181" s="9">
        <v>10</v>
      </c>
      <c r="F181" s="8">
        <v>39</v>
      </c>
      <c r="G181" s="8">
        <v>50</v>
      </c>
      <c r="H181" s="8">
        <f t="shared" si="8"/>
        <v>500</v>
      </c>
      <c r="I181" s="8"/>
      <c r="J181" s="8"/>
      <c r="K181" s="8"/>
      <c r="L181" s="9">
        <v>5</v>
      </c>
      <c r="M181" s="9" t="str">
        <f t="shared" si="10"/>
        <v>✅ STABLE</v>
      </c>
    </row>
    <row r="182" spans="2:13" ht="16" x14ac:dyDescent="0.45">
      <c r="B182" s="9" t="s">
        <v>301</v>
      </c>
      <c r="C182" s="5" t="s">
        <v>34</v>
      </c>
      <c r="D182" s="5" t="s">
        <v>720</v>
      </c>
      <c r="E182" s="6">
        <v>15</v>
      </c>
      <c r="F182" s="5">
        <v>18</v>
      </c>
      <c r="G182" s="5">
        <v>30</v>
      </c>
      <c r="H182" s="8">
        <f t="shared" si="8"/>
        <v>450</v>
      </c>
      <c r="I182" s="5"/>
      <c r="J182" s="5"/>
      <c r="K182" s="5"/>
      <c r="L182" s="6">
        <v>5</v>
      </c>
      <c r="M182" s="6" t="str">
        <f t="shared" si="10"/>
        <v>✅ STABLE</v>
      </c>
    </row>
    <row r="183" spans="2:13" ht="16" x14ac:dyDescent="0.45">
      <c r="B183" s="9" t="s">
        <v>302</v>
      </c>
      <c r="C183" s="8" t="s">
        <v>34</v>
      </c>
      <c r="D183" s="8" t="s">
        <v>1153</v>
      </c>
      <c r="E183" s="9">
        <v>0</v>
      </c>
      <c r="F183" s="8"/>
      <c r="G183" s="5">
        <v>0</v>
      </c>
      <c r="H183" s="8">
        <f t="shared" si="8"/>
        <v>0</v>
      </c>
      <c r="I183" s="8"/>
      <c r="J183" s="8"/>
      <c r="K183" s="8"/>
      <c r="L183" s="6">
        <v>1</v>
      </c>
      <c r="M183" s="9" t="str">
        <f t="shared" si="10"/>
        <v>⚠️ REORDER</v>
      </c>
    </row>
    <row r="184" spans="2:13" ht="16" x14ac:dyDescent="0.45">
      <c r="B184" s="9" t="s">
        <v>303</v>
      </c>
      <c r="C184" s="5" t="s">
        <v>34</v>
      </c>
      <c r="D184" s="5" t="s">
        <v>304</v>
      </c>
      <c r="E184" s="6">
        <v>0</v>
      </c>
      <c r="F184" s="5"/>
      <c r="G184" s="5">
        <v>0</v>
      </c>
      <c r="H184" s="8">
        <f t="shared" si="8"/>
        <v>0</v>
      </c>
      <c r="I184" s="5"/>
      <c r="J184" s="5"/>
      <c r="K184" s="5"/>
      <c r="L184" s="6">
        <v>1</v>
      </c>
      <c r="M184" s="6" t="str">
        <f t="shared" si="10"/>
        <v>⚠️ REORDER</v>
      </c>
    </row>
    <row r="185" spans="2:13" ht="16" x14ac:dyDescent="0.45">
      <c r="B185" s="9" t="s">
        <v>305</v>
      </c>
      <c r="C185" s="8" t="s">
        <v>34</v>
      </c>
      <c r="D185" s="8" t="s">
        <v>306</v>
      </c>
      <c r="E185" s="9">
        <v>0</v>
      </c>
      <c r="F185" s="8"/>
      <c r="G185" s="5">
        <v>0</v>
      </c>
      <c r="H185" s="8">
        <f t="shared" si="8"/>
        <v>0</v>
      </c>
      <c r="I185" s="8"/>
      <c r="J185" s="8"/>
      <c r="K185" s="8"/>
      <c r="L185" s="6">
        <v>1</v>
      </c>
      <c r="M185" s="9" t="str">
        <f t="shared" si="10"/>
        <v>⚠️ REORDER</v>
      </c>
    </row>
    <row r="186" spans="2:13" ht="16" x14ac:dyDescent="0.45">
      <c r="B186" s="9" t="s">
        <v>307</v>
      </c>
      <c r="C186" s="5" t="s">
        <v>10</v>
      </c>
      <c r="D186" s="5" t="s">
        <v>308</v>
      </c>
      <c r="E186" s="6">
        <v>0</v>
      </c>
      <c r="F186" s="5"/>
      <c r="G186" s="5">
        <v>0</v>
      </c>
      <c r="H186" s="8">
        <f t="shared" si="8"/>
        <v>0</v>
      </c>
      <c r="I186" s="5"/>
      <c r="J186" s="5"/>
      <c r="K186" s="5"/>
      <c r="L186" s="6">
        <v>1</v>
      </c>
      <c r="M186" s="6" t="str">
        <f t="shared" si="10"/>
        <v>⚠️ REORDER</v>
      </c>
    </row>
    <row r="187" spans="2:13" ht="16" x14ac:dyDescent="0.45">
      <c r="B187" s="9" t="s">
        <v>309</v>
      </c>
      <c r="C187" s="8" t="s">
        <v>10</v>
      </c>
      <c r="D187" s="8" t="s">
        <v>310</v>
      </c>
      <c r="E187" s="9">
        <v>9</v>
      </c>
      <c r="F187" s="8">
        <v>5</v>
      </c>
      <c r="G187" s="8">
        <v>50</v>
      </c>
      <c r="H187" s="8">
        <f t="shared" si="8"/>
        <v>450</v>
      </c>
      <c r="I187" s="8"/>
      <c r="J187" s="8"/>
      <c r="K187" s="8"/>
      <c r="L187" s="9">
        <v>5</v>
      </c>
      <c r="M187" s="9" t="str">
        <f t="shared" si="10"/>
        <v>✅ STABLE</v>
      </c>
    </row>
    <row r="188" spans="2:13" ht="16" x14ac:dyDescent="0.45">
      <c r="B188" s="9" t="s">
        <v>311</v>
      </c>
      <c r="C188" s="5" t="s">
        <v>10</v>
      </c>
      <c r="D188" s="5" t="s">
        <v>801</v>
      </c>
      <c r="E188" s="6">
        <v>9</v>
      </c>
      <c r="F188" s="5">
        <v>15</v>
      </c>
      <c r="G188" s="5">
        <v>100</v>
      </c>
      <c r="H188" s="8">
        <f t="shared" si="8"/>
        <v>900</v>
      </c>
      <c r="I188" s="5"/>
      <c r="J188" s="5"/>
      <c r="K188" s="5"/>
      <c r="L188" s="6">
        <v>5</v>
      </c>
      <c r="M188" s="6" t="str">
        <f t="shared" si="10"/>
        <v>✅ STABLE</v>
      </c>
    </row>
    <row r="189" spans="2:13" ht="16" x14ac:dyDescent="0.45">
      <c r="B189" s="9" t="s">
        <v>312</v>
      </c>
      <c r="C189" s="8" t="s">
        <v>10</v>
      </c>
      <c r="D189" s="8" t="s">
        <v>313</v>
      </c>
      <c r="E189" s="9">
        <v>0</v>
      </c>
      <c r="F189" s="8"/>
      <c r="G189" s="5">
        <v>0</v>
      </c>
      <c r="H189" s="8">
        <f t="shared" si="8"/>
        <v>0</v>
      </c>
      <c r="I189" s="8"/>
      <c r="J189" s="8"/>
      <c r="K189" s="8"/>
      <c r="L189" s="6">
        <v>1</v>
      </c>
      <c r="M189" s="9" t="str">
        <f t="shared" si="10"/>
        <v>⚠️ REORDER</v>
      </c>
    </row>
    <row r="190" spans="2:13" ht="16" x14ac:dyDescent="0.45">
      <c r="B190" s="9" t="s">
        <v>314</v>
      </c>
      <c r="C190" s="5" t="s">
        <v>34</v>
      </c>
      <c r="D190" s="5" t="s">
        <v>718</v>
      </c>
      <c r="E190" s="6">
        <v>30</v>
      </c>
      <c r="F190" s="5">
        <v>285</v>
      </c>
      <c r="G190" s="5">
        <v>10</v>
      </c>
      <c r="H190" s="8">
        <f t="shared" si="8"/>
        <v>300</v>
      </c>
      <c r="I190" s="5"/>
      <c r="J190" s="5"/>
      <c r="K190" s="5"/>
      <c r="L190" s="6">
        <v>5</v>
      </c>
      <c r="M190" s="6" t="str">
        <f t="shared" si="10"/>
        <v>✅ STABLE</v>
      </c>
    </row>
    <row r="191" spans="2:13" ht="16" x14ac:dyDescent="0.45">
      <c r="B191" s="9" t="s">
        <v>315</v>
      </c>
      <c r="C191" s="8" t="s">
        <v>10</v>
      </c>
      <c r="D191" s="8" t="s">
        <v>316</v>
      </c>
      <c r="E191" s="9">
        <v>0</v>
      </c>
      <c r="F191" s="8"/>
      <c r="G191" s="5">
        <v>0</v>
      </c>
      <c r="H191" s="8">
        <f t="shared" si="8"/>
        <v>0</v>
      </c>
      <c r="I191" s="8"/>
      <c r="J191" s="8"/>
      <c r="K191" s="8"/>
      <c r="L191" s="6">
        <v>1</v>
      </c>
      <c r="M191" s="9" t="str">
        <f t="shared" si="10"/>
        <v>⚠️ REORDER</v>
      </c>
    </row>
    <row r="192" spans="2:13" ht="16" x14ac:dyDescent="0.45">
      <c r="B192" s="9" t="s">
        <v>317</v>
      </c>
      <c r="C192" s="5" t="s">
        <v>25</v>
      </c>
      <c r="D192" s="5" t="s">
        <v>820</v>
      </c>
      <c r="E192" s="6">
        <v>6</v>
      </c>
      <c r="F192" s="5">
        <v>10</v>
      </c>
      <c r="G192" s="5">
        <v>50</v>
      </c>
      <c r="H192" s="8">
        <f t="shared" si="8"/>
        <v>300</v>
      </c>
      <c r="I192" s="5"/>
      <c r="J192" s="5"/>
      <c r="K192" s="5"/>
      <c r="L192" s="6">
        <v>5</v>
      </c>
      <c r="M192" s="6" t="str">
        <f t="shared" si="10"/>
        <v>✅ STABLE</v>
      </c>
    </row>
    <row r="193" spans="2:13" ht="16" x14ac:dyDescent="0.45">
      <c r="B193" s="9" t="s">
        <v>318</v>
      </c>
      <c r="C193" s="8" t="s">
        <v>25</v>
      </c>
      <c r="D193" s="8" t="s">
        <v>819</v>
      </c>
      <c r="E193" s="9">
        <v>6</v>
      </c>
      <c r="F193" s="8">
        <v>15</v>
      </c>
      <c r="G193" s="8">
        <v>50</v>
      </c>
      <c r="H193" s="8">
        <f t="shared" si="8"/>
        <v>300</v>
      </c>
      <c r="I193" s="8"/>
      <c r="J193" s="8"/>
      <c r="K193" s="8"/>
      <c r="L193" s="9">
        <v>5</v>
      </c>
      <c r="M193" s="9" t="str">
        <f t="shared" si="10"/>
        <v>✅ STABLE</v>
      </c>
    </row>
    <row r="194" spans="2:13" ht="16" x14ac:dyDescent="0.45">
      <c r="B194" s="9" t="s">
        <v>319</v>
      </c>
      <c r="C194" s="5" t="s">
        <v>25</v>
      </c>
      <c r="D194" s="22" t="s">
        <v>979</v>
      </c>
      <c r="E194" s="6">
        <v>6</v>
      </c>
      <c r="F194" s="5">
        <v>45</v>
      </c>
      <c r="G194" s="5">
        <v>100</v>
      </c>
      <c r="H194" s="8">
        <f t="shared" si="8"/>
        <v>600</v>
      </c>
      <c r="I194" s="5"/>
      <c r="J194" s="5"/>
      <c r="K194" s="5"/>
      <c r="L194" s="9">
        <v>1</v>
      </c>
      <c r="M194" s="6" t="str">
        <f t="shared" si="10"/>
        <v>✅ STABLE</v>
      </c>
    </row>
    <row r="195" spans="2:13" ht="16" x14ac:dyDescent="0.45">
      <c r="B195" s="9" t="s">
        <v>320</v>
      </c>
      <c r="C195" s="8" t="s">
        <v>25</v>
      </c>
      <c r="D195" s="8" t="s">
        <v>321</v>
      </c>
      <c r="E195" s="9">
        <v>6</v>
      </c>
      <c r="F195" s="8">
        <v>13</v>
      </c>
      <c r="G195" s="5">
        <v>50</v>
      </c>
      <c r="H195" s="8">
        <f t="shared" si="8"/>
        <v>300</v>
      </c>
      <c r="I195" s="8"/>
      <c r="J195" s="8"/>
      <c r="K195" s="8"/>
      <c r="L195" s="9">
        <v>1</v>
      </c>
      <c r="M195" s="9" t="str">
        <f t="shared" si="10"/>
        <v>✅ STABLE</v>
      </c>
    </row>
    <row r="196" spans="2:13" ht="16" x14ac:dyDescent="0.45">
      <c r="B196" s="9" t="s">
        <v>826</v>
      </c>
      <c r="C196" s="5" t="s">
        <v>12</v>
      </c>
      <c r="D196" s="5" t="s">
        <v>927</v>
      </c>
      <c r="E196" s="6">
        <v>2</v>
      </c>
      <c r="F196" s="5">
        <v>110</v>
      </c>
      <c r="G196" s="5">
        <v>150</v>
      </c>
      <c r="H196" s="8">
        <f t="shared" si="8"/>
        <v>300</v>
      </c>
      <c r="I196" s="5"/>
      <c r="J196" s="5"/>
      <c r="K196" s="5"/>
      <c r="L196" s="6">
        <v>1</v>
      </c>
      <c r="M196" s="6" t="str">
        <f t="shared" si="10"/>
        <v>✅ STABLE</v>
      </c>
    </row>
    <row r="197" spans="2:13" ht="16" x14ac:dyDescent="0.45">
      <c r="B197" s="9" t="s">
        <v>827</v>
      </c>
      <c r="C197" s="8" t="s">
        <v>31</v>
      </c>
      <c r="D197" s="8" t="s">
        <v>928</v>
      </c>
      <c r="E197" s="9">
        <v>0</v>
      </c>
      <c r="F197" s="8">
        <v>0</v>
      </c>
      <c r="G197" s="8">
        <v>0</v>
      </c>
      <c r="H197" s="8">
        <f t="shared" ref="H197:H260" si="11">E197*G197</f>
        <v>0</v>
      </c>
      <c r="I197" s="8"/>
      <c r="J197" s="8"/>
      <c r="K197" s="8"/>
      <c r="L197" s="6">
        <v>1</v>
      </c>
      <c r="M197" s="9" t="str">
        <f t="shared" si="10"/>
        <v>⚠️ REORDER</v>
      </c>
    </row>
    <row r="198" spans="2:13" ht="16" x14ac:dyDescent="0.45">
      <c r="B198" s="9" t="s">
        <v>322</v>
      </c>
      <c r="C198" s="5" t="s">
        <v>25</v>
      </c>
      <c r="D198" s="5" t="s">
        <v>323</v>
      </c>
      <c r="E198" s="6">
        <v>0</v>
      </c>
      <c r="F198" s="5"/>
      <c r="G198" s="5">
        <v>0</v>
      </c>
      <c r="H198" s="8">
        <f t="shared" si="11"/>
        <v>0</v>
      </c>
      <c r="I198" s="5"/>
      <c r="J198" s="5"/>
      <c r="K198" s="5"/>
      <c r="L198" s="6">
        <v>1</v>
      </c>
      <c r="M198" s="6" t="str">
        <f t="shared" ref="M198:M214" si="12">IF(E198&lt;=L198, "⚠️ REORDER", "✅ STABLE")</f>
        <v>⚠️ REORDER</v>
      </c>
    </row>
    <row r="199" spans="2:13" ht="16" x14ac:dyDescent="0.45">
      <c r="B199" s="9" t="s">
        <v>324</v>
      </c>
      <c r="C199" s="8" t="s">
        <v>25</v>
      </c>
      <c r="D199" s="8" t="s">
        <v>325</v>
      </c>
      <c r="E199" s="9">
        <v>0</v>
      </c>
      <c r="F199" s="8"/>
      <c r="G199" s="5">
        <v>0</v>
      </c>
      <c r="H199" s="8">
        <f t="shared" si="11"/>
        <v>0</v>
      </c>
      <c r="I199" s="8"/>
      <c r="J199" s="8"/>
      <c r="K199" s="8"/>
      <c r="L199" s="6">
        <v>1</v>
      </c>
      <c r="M199" s="9" t="str">
        <f t="shared" si="12"/>
        <v>⚠️ REORDER</v>
      </c>
    </row>
    <row r="200" spans="2:13" ht="16" x14ac:dyDescent="0.45">
      <c r="B200" s="9" t="s">
        <v>326</v>
      </c>
      <c r="C200" s="5" t="s">
        <v>25</v>
      </c>
      <c r="D200" s="5" t="s">
        <v>327</v>
      </c>
      <c r="E200" s="6">
        <v>0</v>
      </c>
      <c r="F200" s="5"/>
      <c r="G200" s="5">
        <v>0</v>
      </c>
      <c r="H200" s="8">
        <f t="shared" si="11"/>
        <v>0</v>
      </c>
      <c r="I200" s="5"/>
      <c r="J200" s="5"/>
      <c r="K200" s="5"/>
      <c r="L200" s="6">
        <v>1</v>
      </c>
      <c r="M200" s="6" t="str">
        <f t="shared" si="12"/>
        <v>⚠️ REORDER</v>
      </c>
    </row>
    <row r="201" spans="2:13" ht="16" x14ac:dyDescent="0.45">
      <c r="B201" s="9" t="s">
        <v>328</v>
      </c>
      <c r="C201" s="8" t="s">
        <v>25</v>
      </c>
      <c r="D201" s="8" t="s">
        <v>329</v>
      </c>
      <c r="E201" s="9">
        <v>0</v>
      </c>
      <c r="F201" s="8"/>
      <c r="G201" s="5">
        <v>0</v>
      </c>
      <c r="H201" s="8">
        <f t="shared" si="11"/>
        <v>0</v>
      </c>
      <c r="I201" s="8"/>
      <c r="J201" s="8"/>
      <c r="K201" s="8"/>
      <c r="L201" s="6">
        <v>1</v>
      </c>
      <c r="M201" s="9" t="str">
        <f t="shared" si="12"/>
        <v>⚠️ REORDER</v>
      </c>
    </row>
    <row r="202" spans="2:13" ht="16" x14ac:dyDescent="0.45">
      <c r="B202" s="9" t="s">
        <v>330</v>
      </c>
      <c r="C202" s="5" t="s">
        <v>25</v>
      </c>
      <c r="D202" s="5" t="s">
        <v>1154</v>
      </c>
      <c r="E202" s="6">
        <v>0</v>
      </c>
      <c r="F202" s="5"/>
      <c r="G202" s="5">
        <v>0</v>
      </c>
      <c r="H202" s="8">
        <f t="shared" si="11"/>
        <v>0</v>
      </c>
      <c r="I202" s="5"/>
      <c r="J202" s="5"/>
      <c r="K202" s="5"/>
      <c r="L202" s="6">
        <v>1</v>
      </c>
      <c r="M202" s="6" t="str">
        <f t="shared" si="12"/>
        <v>⚠️ REORDER</v>
      </c>
    </row>
    <row r="203" spans="2:13" ht="16" x14ac:dyDescent="0.45">
      <c r="B203" s="9" t="s">
        <v>331</v>
      </c>
      <c r="C203" s="8" t="s">
        <v>25</v>
      </c>
      <c r="D203" s="8" t="s">
        <v>332</v>
      </c>
      <c r="E203" s="9">
        <v>0</v>
      </c>
      <c r="F203" s="8"/>
      <c r="G203" s="5">
        <v>0</v>
      </c>
      <c r="H203" s="8">
        <f t="shared" si="11"/>
        <v>0</v>
      </c>
      <c r="I203" s="8"/>
      <c r="J203" s="8"/>
      <c r="K203" s="8"/>
      <c r="L203" s="6">
        <v>1</v>
      </c>
      <c r="M203" s="9" t="str">
        <f t="shared" si="12"/>
        <v>⚠️ REORDER</v>
      </c>
    </row>
    <row r="204" spans="2:13" ht="16" x14ac:dyDescent="0.45">
      <c r="B204" s="9" t="s">
        <v>333</v>
      </c>
      <c r="C204" s="5" t="s">
        <v>25</v>
      </c>
      <c r="D204" s="5" t="s">
        <v>678</v>
      </c>
      <c r="E204" s="6">
        <v>5</v>
      </c>
      <c r="F204" s="5">
        <v>45</v>
      </c>
      <c r="G204" s="5">
        <v>100</v>
      </c>
      <c r="H204" s="8">
        <f t="shared" si="11"/>
        <v>500</v>
      </c>
      <c r="I204" s="5"/>
      <c r="J204" s="5"/>
      <c r="K204" s="5"/>
      <c r="L204" s="9">
        <v>1</v>
      </c>
      <c r="M204" s="6" t="str">
        <f t="shared" si="12"/>
        <v>✅ STABLE</v>
      </c>
    </row>
    <row r="205" spans="2:13" ht="16" x14ac:dyDescent="0.45">
      <c r="B205" s="9" t="s">
        <v>334</v>
      </c>
      <c r="C205" s="8" t="s">
        <v>25</v>
      </c>
      <c r="D205" s="8" t="s">
        <v>726</v>
      </c>
      <c r="E205" s="9">
        <v>20</v>
      </c>
      <c r="F205" s="8">
        <v>140</v>
      </c>
      <c r="G205" s="8">
        <v>20</v>
      </c>
      <c r="H205" s="8">
        <f t="shared" si="11"/>
        <v>400</v>
      </c>
      <c r="I205" s="8"/>
      <c r="J205" s="8"/>
      <c r="K205" s="8"/>
      <c r="L205" s="9">
        <v>5</v>
      </c>
      <c r="M205" s="9" t="str">
        <f t="shared" si="12"/>
        <v>✅ STABLE</v>
      </c>
    </row>
    <row r="206" spans="2:13" ht="16" x14ac:dyDescent="0.45">
      <c r="B206" s="9" t="s">
        <v>335</v>
      </c>
      <c r="C206" s="5" t="s">
        <v>25</v>
      </c>
      <c r="D206" s="5" t="s">
        <v>336</v>
      </c>
      <c r="E206" s="6">
        <v>20</v>
      </c>
      <c r="F206" s="5">
        <v>14</v>
      </c>
      <c r="G206" s="5">
        <v>20</v>
      </c>
      <c r="H206" s="8">
        <f t="shared" si="11"/>
        <v>400</v>
      </c>
      <c r="I206" s="5"/>
      <c r="J206" s="5"/>
      <c r="K206" s="5"/>
      <c r="L206" s="6">
        <v>5</v>
      </c>
      <c r="M206" s="6" t="str">
        <f t="shared" si="12"/>
        <v>✅ STABLE</v>
      </c>
    </row>
    <row r="207" spans="2:13" ht="16" x14ac:dyDescent="0.45">
      <c r="B207" s="9" t="s">
        <v>337</v>
      </c>
      <c r="C207" s="8" t="s">
        <v>25</v>
      </c>
      <c r="D207" s="8" t="s">
        <v>338</v>
      </c>
      <c r="E207" s="9">
        <v>0</v>
      </c>
      <c r="F207" s="8"/>
      <c r="G207" s="5">
        <v>0</v>
      </c>
      <c r="H207" s="8">
        <f t="shared" si="11"/>
        <v>0</v>
      </c>
      <c r="I207" s="8"/>
      <c r="J207" s="8"/>
      <c r="K207" s="8"/>
      <c r="L207" s="6">
        <v>1</v>
      </c>
      <c r="M207" s="9" t="str">
        <f t="shared" si="12"/>
        <v>⚠️ REORDER</v>
      </c>
    </row>
    <row r="208" spans="2:13" ht="16" x14ac:dyDescent="0.45">
      <c r="B208" s="9" t="s">
        <v>339</v>
      </c>
      <c r="C208" s="5" t="s">
        <v>25</v>
      </c>
      <c r="D208" s="5" t="s">
        <v>340</v>
      </c>
      <c r="E208" s="6">
        <v>20</v>
      </c>
      <c r="F208" s="5">
        <v>17</v>
      </c>
      <c r="G208" s="5">
        <v>25</v>
      </c>
      <c r="H208" s="8">
        <f t="shared" si="11"/>
        <v>500</v>
      </c>
      <c r="I208" s="5"/>
      <c r="J208" s="5"/>
      <c r="K208" s="5"/>
      <c r="L208" s="6">
        <v>5</v>
      </c>
      <c r="M208" s="6" t="str">
        <f t="shared" si="12"/>
        <v>✅ STABLE</v>
      </c>
    </row>
    <row r="209" spans="2:13" ht="16" x14ac:dyDescent="0.45">
      <c r="B209" s="9" t="s">
        <v>341</v>
      </c>
      <c r="C209" s="8" t="s">
        <v>25</v>
      </c>
      <c r="D209" s="8" t="s">
        <v>727</v>
      </c>
      <c r="E209" s="9">
        <v>100</v>
      </c>
      <c r="F209" s="8">
        <v>90</v>
      </c>
      <c r="G209" s="8">
        <v>5</v>
      </c>
      <c r="H209" s="8">
        <f t="shared" si="11"/>
        <v>500</v>
      </c>
      <c r="I209" s="8"/>
      <c r="J209" s="8"/>
      <c r="K209" s="8"/>
      <c r="L209" s="9">
        <v>5</v>
      </c>
      <c r="M209" s="9" t="str">
        <f t="shared" si="12"/>
        <v>✅ STABLE</v>
      </c>
    </row>
    <row r="210" spans="2:13" ht="16" x14ac:dyDescent="0.45">
      <c r="B210" s="9" t="s">
        <v>342</v>
      </c>
      <c r="C210" s="5" t="s">
        <v>25</v>
      </c>
      <c r="D210" s="22" t="s">
        <v>965</v>
      </c>
      <c r="E210" s="6">
        <v>30</v>
      </c>
      <c r="F210" s="5">
        <v>2.2999999999999998</v>
      </c>
      <c r="G210" s="5">
        <v>10</v>
      </c>
      <c r="H210" s="8">
        <f t="shared" si="11"/>
        <v>300</v>
      </c>
      <c r="I210" s="5"/>
      <c r="J210" s="5"/>
      <c r="K210" s="5"/>
      <c r="L210" s="9">
        <v>1</v>
      </c>
      <c r="M210" s="6" t="str">
        <f t="shared" si="12"/>
        <v>✅ STABLE</v>
      </c>
    </row>
    <row r="211" spans="2:13" ht="16" x14ac:dyDescent="0.45">
      <c r="B211" s="9" t="s">
        <v>343</v>
      </c>
      <c r="C211" s="8" t="s">
        <v>25</v>
      </c>
      <c r="D211" s="8" t="s">
        <v>344</v>
      </c>
      <c r="E211" s="9">
        <v>0</v>
      </c>
      <c r="F211" s="8"/>
      <c r="G211" s="5">
        <v>0</v>
      </c>
      <c r="H211" s="8">
        <f t="shared" si="11"/>
        <v>0</v>
      </c>
      <c r="I211" s="8"/>
      <c r="J211" s="8"/>
      <c r="K211" s="8"/>
      <c r="L211" s="6">
        <v>1</v>
      </c>
      <c r="M211" s="9" t="str">
        <f t="shared" si="12"/>
        <v>⚠️ REORDER</v>
      </c>
    </row>
    <row r="212" spans="2:13" ht="16" x14ac:dyDescent="0.45">
      <c r="B212" s="9" t="s">
        <v>345</v>
      </c>
      <c r="C212" s="5" t="s">
        <v>25</v>
      </c>
      <c r="D212" s="5" t="s">
        <v>346</v>
      </c>
      <c r="E212" s="6">
        <v>0</v>
      </c>
      <c r="F212" s="5"/>
      <c r="G212" s="5">
        <v>0</v>
      </c>
      <c r="H212" s="8">
        <f t="shared" si="11"/>
        <v>0</v>
      </c>
      <c r="I212" s="5"/>
      <c r="J212" s="5"/>
      <c r="K212" s="5"/>
      <c r="L212" s="6">
        <v>1</v>
      </c>
      <c r="M212" s="6" t="str">
        <f t="shared" si="12"/>
        <v>⚠️ REORDER</v>
      </c>
    </row>
    <row r="213" spans="2:13" ht="16" x14ac:dyDescent="0.45">
      <c r="B213" s="9" t="s">
        <v>347</v>
      </c>
      <c r="C213" s="8" t="s">
        <v>25</v>
      </c>
      <c r="D213" s="8" t="s">
        <v>348</v>
      </c>
      <c r="E213" s="9">
        <v>0</v>
      </c>
      <c r="F213" s="8"/>
      <c r="G213" s="5">
        <v>0</v>
      </c>
      <c r="H213" s="8">
        <f t="shared" si="11"/>
        <v>0</v>
      </c>
      <c r="I213" s="8"/>
      <c r="J213" s="8"/>
      <c r="K213" s="8"/>
      <c r="L213" s="6">
        <v>1</v>
      </c>
      <c r="M213" s="9" t="str">
        <f t="shared" si="12"/>
        <v>⚠️ REORDER</v>
      </c>
    </row>
    <row r="214" spans="2:13" ht="16" x14ac:dyDescent="0.45">
      <c r="B214" s="9" t="s">
        <v>828</v>
      </c>
      <c r="C214" s="8" t="s">
        <v>25</v>
      </c>
      <c r="D214" s="22" t="s">
        <v>966</v>
      </c>
      <c r="E214" s="6">
        <v>30</v>
      </c>
      <c r="F214" s="5">
        <v>3.3</v>
      </c>
      <c r="G214" s="5">
        <v>20</v>
      </c>
      <c r="H214" s="8">
        <f t="shared" si="11"/>
        <v>600</v>
      </c>
      <c r="I214" s="5"/>
      <c r="J214" s="5"/>
      <c r="K214" s="5"/>
      <c r="L214" s="6">
        <v>1</v>
      </c>
      <c r="M214" s="6" t="str">
        <f t="shared" si="12"/>
        <v>✅ STABLE</v>
      </c>
    </row>
    <row r="215" spans="2:13" ht="16" x14ac:dyDescent="0.45">
      <c r="B215" s="9" t="s">
        <v>349</v>
      </c>
      <c r="C215" s="8" t="s">
        <v>25</v>
      </c>
      <c r="D215" s="8" t="s">
        <v>350</v>
      </c>
      <c r="E215" s="9">
        <v>0</v>
      </c>
      <c r="F215" s="8"/>
      <c r="G215" s="5">
        <v>0</v>
      </c>
      <c r="H215" s="8">
        <f t="shared" si="11"/>
        <v>0</v>
      </c>
      <c r="I215" s="8"/>
      <c r="J215" s="8"/>
      <c r="K215" s="8"/>
      <c r="L215" s="6">
        <v>1</v>
      </c>
      <c r="M215" s="9" t="str">
        <f t="shared" ref="M215:M245" si="13">IF(E215&lt;=L215, "⚠️ REORDER", "✅ STABLE")</f>
        <v>⚠️ REORDER</v>
      </c>
    </row>
    <row r="216" spans="2:13" ht="16" x14ac:dyDescent="0.45">
      <c r="B216" s="9" t="s">
        <v>351</v>
      </c>
      <c r="C216" s="5" t="s">
        <v>25</v>
      </c>
      <c r="D216" s="5" t="s">
        <v>352</v>
      </c>
      <c r="E216" s="6">
        <v>0</v>
      </c>
      <c r="F216" s="5"/>
      <c r="G216" s="5">
        <v>0</v>
      </c>
      <c r="H216" s="8">
        <f t="shared" si="11"/>
        <v>0</v>
      </c>
      <c r="I216" s="5"/>
      <c r="J216" s="5"/>
      <c r="K216" s="5"/>
      <c r="L216" s="6">
        <v>1</v>
      </c>
      <c r="M216" s="6" t="str">
        <f t="shared" si="13"/>
        <v>⚠️ REORDER</v>
      </c>
    </row>
    <row r="217" spans="2:13" ht="16" x14ac:dyDescent="0.45">
      <c r="B217" s="9" t="s">
        <v>353</v>
      </c>
      <c r="C217" s="8" t="s">
        <v>18</v>
      </c>
      <c r="D217" s="8" t="s">
        <v>769</v>
      </c>
      <c r="E217" s="9">
        <v>100</v>
      </c>
      <c r="F217" s="8">
        <v>90</v>
      </c>
      <c r="G217" s="8">
        <v>5</v>
      </c>
      <c r="H217" s="8">
        <f t="shared" si="11"/>
        <v>500</v>
      </c>
      <c r="I217" s="8"/>
      <c r="J217" s="8"/>
      <c r="K217" s="8"/>
      <c r="L217" s="9">
        <v>5</v>
      </c>
      <c r="M217" s="9" t="str">
        <f t="shared" si="13"/>
        <v>✅ STABLE</v>
      </c>
    </row>
    <row r="218" spans="2:13" ht="16" x14ac:dyDescent="0.45">
      <c r="B218" s="9" t="s">
        <v>354</v>
      </c>
      <c r="C218" s="5" t="s">
        <v>18</v>
      </c>
      <c r="D218" s="5" t="s">
        <v>788</v>
      </c>
      <c r="E218" s="6">
        <v>30</v>
      </c>
      <c r="F218" s="5">
        <v>265</v>
      </c>
      <c r="G218" s="5">
        <v>30</v>
      </c>
      <c r="H218" s="8">
        <f t="shared" si="11"/>
        <v>900</v>
      </c>
      <c r="I218" s="5"/>
      <c r="J218" s="5"/>
      <c r="K218" s="5"/>
      <c r="L218" s="6">
        <v>5</v>
      </c>
      <c r="M218" s="6" t="str">
        <f t="shared" si="13"/>
        <v>✅ STABLE</v>
      </c>
    </row>
    <row r="219" spans="2:13" ht="16" x14ac:dyDescent="0.45">
      <c r="B219" s="9" t="s">
        <v>355</v>
      </c>
      <c r="C219" s="8" t="s">
        <v>18</v>
      </c>
      <c r="D219" s="8" t="s">
        <v>792</v>
      </c>
      <c r="E219" s="9">
        <v>36</v>
      </c>
      <c r="F219" s="8">
        <v>8</v>
      </c>
      <c r="G219" s="8">
        <v>15</v>
      </c>
      <c r="H219" s="8">
        <f t="shared" si="11"/>
        <v>540</v>
      </c>
      <c r="I219" s="8"/>
      <c r="J219" s="8"/>
      <c r="K219" s="8"/>
      <c r="L219" s="9">
        <v>5</v>
      </c>
      <c r="M219" s="9" t="str">
        <f t="shared" si="13"/>
        <v>✅ STABLE</v>
      </c>
    </row>
    <row r="220" spans="2:13" ht="16" x14ac:dyDescent="0.45">
      <c r="B220" s="9" t="s">
        <v>356</v>
      </c>
      <c r="C220" s="5" t="s">
        <v>18</v>
      </c>
      <c r="D220" s="5" t="s">
        <v>357</v>
      </c>
      <c r="E220" s="6">
        <v>30</v>
      </c>
      <c r="F220" s="5">
        <v>13</v>
      </c>
      <c r="G220" s="5">
        <v>20</v>
      </c>
      <c r="H220" s="8">
        <f t="shared" si="11"/>
        <v>600</v>
      </c>
      <c r="I220" s="5"/>
      <c r="J220" s="5"/>
      <c r="K220" s="5"/>
      <c r="L220" s="6">
        <v>5</v>
      </c>
      <c r="M220" s="6" t="str">
        <f t="shared" si="13"/>
        <v>✅ STABLE</v>
      </c>
    </row>
    <row r="221" spans="2:13" ht="16" x14ac:dyDescent="0.45">
      <c r="B221" s="9" t="s">
        <v>358</v>
      </c>
      <c r="C221" s="8" t="s">
        <v>18</v>
      </c>
      <c r="D221" s="8" t="s">
        <v>359</v>
      </c>
      <c r="E221" s="9">
        <v>0</v>
      </c>
      <c r="F221" s="8"/>
      <c r="G221" s="5">
        <v>0</v>
      </c>
      <c r="H221" s="8">
        <f t="shared" si="11"/>
        <v>0</v>
      </c>
      <c r="I221" s="8"/>
      <c r="J221" s="8"/>
      <c r="K221" s="8"/>
      <c r="L221" s="6">
        <v>1</v>
      </c>
      <c r="M221" s="9" t="str">
        <f t="shared" si="13"/>
        <v>⚠️ REORDER</v>
      </c>
    </row>
    <row r="222" spans="2:13" ht="16" x14ac:dyDescent="0.45">
      <c r="B222" s="9" t="s">
        <v>360</v>
      </c>
      <c r="C222" s="5" t="s">
        <v>18</v>
      </c>
      <c r="D222" s="5" t="s">
        <v>361</v>
      </c>
      <c r="E222" s="6">
        <v>0</v>
      </c>
      <c r="F222" s="5"/>
      <c r="G222" s="5">
        <v>0</v>
      </c>
      <c r="H222" s="8">
        <f t="shared" si="11"/>
        <v>0</v>
      </c>
      <c r="I222" s="5"/>
      <c r="J222" s="5"/>
      <c r="K222" s="5"/>
      <c r="L222" s="6">
        <v>1</v>
      </c>
      <c r="M222" s="6" t="str">
        <f t="shared" si="13"/>
        <v>⚠️ REORDER</v>
      </c>
    </row>
    <row r="223" spans="2:13" ht="16" x14ac:dyDescent="0.45">
      <c r="B223" s="9" t="s">
        <v>362</v>
      </c>
      <c r="C223" s="8" t="s">
        <v>18</v>
      </c>
      <c r="D223" s="8" t="s">
        <v>812</v>
      </c>
      <c r="E223" s="9">
        <v>5</v>
      </c>
      <c r="F223" s="8">
        <v>34</v>
      </c>
      <c r="G223" s="8">
        <v>40</v>
      </c>
      <c r="H223" s="8">
        <f t="shared" si="11"/>
        <v>200</v>
      </c>
      <c r="I223" s="8"/>
      <c r="J223" s="8"/>
      <c r="K223" s="8"/>
      <c r="L223" s="6">
        <v>1</v>
      </c>
      <c r="M223" s="9" t="str">
        <f t="shared" si="13"/>
        <v>✅ STABLE</v>
      </c>
    </row>
    <row r="224" spans="2:13" ht="16" x14ac:dyDescent="0.45">
      <c r="B224" s="9" t="s">
        <v>363</v>
      </c>
      <c r="C224" s="5" t="s">
        <v>18</v>
      </c>
      <c r="D224" s="5" t="s">
        <v>805</v>
      </c>
      <c r="E224" s="6">
        <v>9</v>
      </c>
      <c r="F224" s="5">
        <v>12</v>
      </c>
      <c r="G224" s="5">
        <v>20</v>
      </c>
      <c r="H224" s="8">
        <f t="shared" si="11"/>
        <v>180</v>
      </c>
      <c r="I224" s="5"/>
      <c r="J224" s="5"/>
      <c r="K224" s="5"/>
      <c r="L224" s="6">
        <v>5</v>
      </c>
      <c r="M224" s="6" t="str">
        <f t="shared" si="13"/>
        <v>✅ STABLE</v>
      </c>
    </row>
    <row r="225" spans="2:13" ht="16" x14ac:dyDescent="0.45">
      <c r="B225" s="9" t="s">
        <v>364</v>
      </c>
      <c r="C225" s="8" t="s">
        <v>18</v>
      </c>
      <c r="D225" s="8" t="s">
        <v>365</v>
      </c>
      <c r="E225" s="9">
        <v>0</v>
      </c>
      <c r="F225" s="8"/>
      <c r="G225" s="5">
        <v>0</v>
      </c>
      <c r="H225" s="8">
        <f t="shared" si="11"/>
        <v>0</v>
      </c>
      <c r="I225" s="8"/>
      <c r="J225" s="8"/>
      <c r="K225" s="8"/>
      <c r="L225" s="6">
        <v>1</v>
      </c>
      <c r="M225" s="9" t="str">
        <f t="shared" si="13"/>
        <v>⚠️ REORDER</v>
      </c>
    </row>
    <row r="226" spans="2:13" ht="16" x14ac:dyDescent="0.45">
      <c r="B226" s="9" t="s">
        <v>366</v>
      </c>
      <c r="C226" s="5" t="s">
        <v>18</v>
      </c>
      <c r="D226" s="5" t="s">
        <v>367</v>
      </c>
      <c r="E226" s="6">
        <v>0</v>
      </c>
      <c r="F226" s="5"/>
      <c r="G226" s="5">
        <v>0</v>
      </c>
      <c r="H226" s="8">
        <f t="shared" si="11"/>
        <v>0</v>
      </c>
      <c r="I226" s="5"/>
      <c r="J226" s="5"/>
      <c r="K226" s="5"/>
      <c r="L226" s="6">
        <v>1</v>
      </c>
      <c r="M226" s="6" t="str">
        <f t="shared" si="13"/>
        <v>⚠️ REORDER</v>
      </c>
    </row>
    <row r="227" spans="2:13" ht="16" x14ac:dyDescent="0.45">
      <c r="B227" s="9" t="s">
        <v>368</v>
      </c>
      <c r="C227" s="8" t="s">
        <v>18</v>
      </c>
      <c r="D227" s="8" t="s">
        <v>369</v>
      </c>
      <c r="E227" s="9">
        <v>10</v>
      </c>
      <c r="F227" s="8"/>
      <c r="G227" s="5">
        <v>10</v>
      </c>
      <c r="H227" s="8">
        <f t="shared" si="11"/>
        <v>100</v>
      </c>
      <c r="I227" s="8"/>
      <c r="J227" s="8"/>
      <c r="K227" s="8"/>
      <c r="L227" s="9">
        <v>1</v>
      </c>
      <c r="M227" s="9" t="str">
        <f t="shared" si="13"/>
        <v>✅ STABLE</v>
      </c>
    </row>
    <row r="228" spans="2:13" ht="16" x14ac:dyDescent="0.45">
      <c r="B228" s="9" t="s">
        <v>370</v>
      </c>
      <c r="C228" s="5" t="s">
        <v>18</v>
      </c>
      <c r="D228" s="5" t="s">
        <v>371</v>
      </c>
      <c r="E228" s="6">
        <v>50</v>
      </c>
      <c r="F228" s="5">
        <v>2</v>
      </c>
      <c r="G228" s="5">
        <v>10</v>
      </c>
      <c r="H228" s="8">
        <f t="shared" si="11"/>
        <v>500</v>
      </c>
      <c r="I228" s="5"/>
      <c r="J228" s="5"/>
      <c r="K228" s="5"/>
      <c r="L228" s="9">
        <v>1</v>
      </c>
      <c r="M228" s="6" t="str">
        <f t="shared" si="13"/>
        <v>✅ STABLE</v>
      </c>
    </row>
    <row r="229" spans="2:13" ht="16" x14ac:dyDescent="0.45">
      <c r="B229" s="9" t="s">
        <v>372</v>
      </c>
      <c r="C229" s="8" t="s">
        <v>18</v>
      </c>
      <c r="D229" s="8" t="s">
        <v>373</v>
      </c>
      <c r="E229" s="9">
        <v>0</v>
      </c>
      <c r="F229" s="8"/>
      <c r="G229" s="5">
        <v>0</v>
      </c>
      <c r="H229" s="8">
        <f t="shared" si="11"/>
        <v>0</v>
      </c>
      <c r="I229" s="8"/>
      <c r="J229" s="8"/>
      <c r="K229" s="8"/>
      <c r="L229" s="6">
        <v>1</v>
      </c>
      <c r="M229" s="9" t="str">
        <f t="shared" si="13"/>
        <v>⚠️ REORDER</v>
      </c>
    </row>
    <row r="230" spans="2:13" ht="16" x14ac:dyDescent="0.45">
      <c r="B230" s="9" t="s">
        <v>374</v>
      </c>
      <c r="C230" s="5" t="s">
        <v>18</v>
      </c>
      <c r="D230" s="5" t="s">
        <v>1080</v>
      </c>
      <c r="E230" s="6">
        <v>100</v>
      </c>
      <c r="F230" s="5">
        <v>45</v>
      </c>
      <c r="G230" s="5">
        <v>3</v>
      </c>
      <c r="H230" s="8">
        <f t="shared" si="11"/>
        <v>300</v>
      </c>
      <c r="I230" s="5"/>
      <c r="J230" s="5"/>
      <c r="K230" s="5"/>
      <c r="L230" s="9">
        <v>1</v>
      </c>
      <c r="M230" s="6" t="str">
        <f t="shared" si="13"/>
        <v>✅ STABLE</v>
      </c>
    </row>
    <row r="231" spans="2:13" ht="16" x14ac:dyDescent="0.45">
      <c r="B231" s="9" t="s">
        <v>375</v>
      </c>
      <c r="C231" s="8" t="s">
        <v>18</v>
      </c>
      <c r="D231" s="8" t="s">
        <v>816</v>
      </c>
      <c r="E231" s="9">
        <v>15</v>
      </c>
      <c r="F231" s="8">
        <v>15</v>
      </c>
      <c r="G231" s="8">
        <v>20</v>
      </c>
      <c r="H231" s="8">
        <f t="shared" si="11"/>
        <v>300</v>
      </c>
      <c r="I231" s="8"/>
      <c r="J231" s="8"/>
      <c r="K231" s="8"/>
      <c r="L231" s="9">
        <v>5</v>
      </c>
      <c r="M231" s="9" t="str">
        <f t="shared" si="13"/>
        <v>✅ STABLE</v>
      </c>
    </row>
    <row r="232" spans="2:13" ht="16" x14ac:dyDescent="0.45">
      <c r="B232" s="9" t="s">
        <v>376</v>
      </c>
      <c r="C232" s="5" t="s">
        <v>18</v>
      </c>
      <c r="D232" s="5" t="s">
        <v>730</v>
      </c>
      <c r="E232" s="6">
        <v>100</v>
      </c>
      <c r="F232" s="5">
        <v>65</v>
      </c>
      <c r="G232" s="5">
        <v>2</v>
      </c>
      <c r="H232" s="8">
        <f t="shared" si="11"/>
        <v>200</v>
      </c>
      <c r="I232" s="5"/>
      <c r="J232" s="5"/>
      <c r="K232" s="5"/>
      <c r="L232" s="6">
        <v>5</v>
      </c>
      <c r="M232" s="6" t="str">
        <f t="shared" si="13"/>
        <v>✅ STABLE</v>
      </c>
    </row>
    <row r="233" spans="2:13" ht="16" x14ac:dyDescent="0.45">
      <c r="B233" s="9" t="s">
        <v>377</v>
      </c>
      <c r="C233" s="8" t="s">
        <v>18</v>
      </c>
      <c r="D233" s="8" t="s">
        <v>789</v>
      </c>
      <c r="E233" s="9">
        <v>100</v>
      </c>
      <c r="F233" s="8">
        <v>35</v>
      </c>
      <c r="G233" s="8">
        <v>2</v>
      </c>
      <c r="H233" s="8">
        <f t="shared" si="11"/>
        <v>200</v>
      </c>
      <c r="I233" s="8"/>
      <c r="J233" s="8"/>
      <c r="K233" s="8"/>
      <c r="L233" s="9">
        <v>5</v>
      </c>
      <c r="M233" s="9" t="str">
        <f t="shared" si="13"/>
        <v>✅ STABLE</v>
      </c>
    </row>
    <row r="234" spans="2:13" ht="16" x14ac:dyDescent="0.45">
      <c r="B234" s="9" t="s">
        <v>378</v>
      </c>
      <c r="C234" s="5" t="s">
        <v>18</v>
      </c>
      <c r="D234" s="5" t="s">
        <v>808</v>
      </c>
      <c r="E234" s="6">
        <v>100</v>
      </c>
      <c r="F234" s="5">
        <v>190</v>
      </c>
      <c r="G234" s="5">
        <v>5</v>
      </c>
      <c r="H234" s="8">
        <f t="shared" si="11"/>
        <v>500</v>
      </c>
      <c r="I234" s="5"/>
      <c r="J234" s="5"/>
      <c r="K234" s="5"/>
      <c r="L234" s="6">
        <v>5</v>
      </c>
      <c r="M234" s="6" t="str">
        <f t="shared" si="13"/>
        <v>✅ STABLE</v>
      </c>
    </row>
    <row r="235" spans="2:13" ht="16" x14ac:dyDescent="0.45">
      <c r="B235" s="9" t="s">
        <v>379</v>
      </c>
      <c r="C235" s="8" t="s">
        <v>16</v>
      </c>
      <c r="D235" s="8" t="s">
        <v>380</v>
      </c>
      <c r="E235" s="9">
        <v>20</v>
      </c>
      <c r="F235" s="8">
        <v>435</v>
      </c>
      <c r="G235" s="8">
        <v>30</v>
      </c>
      <c r="H235" s="8">
        <f t="shared" si="11"/>
        <v>600</v>
      </c>
      <c r="I235" s="8"/>
      <c r="J235" s="8"/>
      <c r="K235" s="8"/>
      <c r="L235" s="9">
        <v>5</v>
      </c>
      <c r="M235" s="9" t="str">
        <f t="shared" si="13"/>
        <v>✅ STABLE</v>
      </c>
    </row>
    <row r="236" spans="2:13" ht="16" x14ac:dyDescent="0.45">
      <c r="B236" s="9" t="s">
        <v>381</v>
      </c>
      <c r="C236" s="5" t="s">
        <v>16</v>
      </c>
      <c r="D236" s="5" t="s">
        <v>719</v>
      </c>
      <c r="E236" s="6">
        <v>100</v>
      </c>
      <c r="F236" s="5">
        <v>240</v>
      </c>
      <c r="G236" s="5">
        <v>5</v>
      </c>
      <c r="H236" s="8">
        <f t="shared" si="11"/>
        <v>500</v>
      </c>
      <c r="I236" s="5"/>
      <c r="J236" s="5"/>
      <c r="K236" s="5"/>
      <c r="L236" s="6">
        <v>5</v>
      </c>
      <c r="M236" s="6" t="str">
        <f t="shared" si="13"/>
        <v>✅ STABLE</v>
      </c>
    </row>
    <row r="237" spans="2:13" ht="16" x14ac:dyDescent="0.45">
      <c r="B237" s="9" t="s">
        <v>382</v>
      </c>
      <c r="C237" s="8" t="s">
        <v>16</v>
      </c>
      <c r="D237" s="8" t="s">
        <v>383</v>
      </c>
      <c r="E237" s="9">
        <v>50</v>
      </c>
      <c r="F237" s="8">
        <v>3</v>
      </c>
      <c r="G237" s="8">
        <v>10</v>
      </c>
      <c r="H237" s="8">
        <f t="shared" si="11"/>
        <v>500</v>
      </c>
      <c r="I237" s="8"/>
      <c r="J237" s="8"/>
      <c r="K237" s="8"/>
      <c r="L237" s="9">
        <v>5</v>
      </c>
      <c r="M237" s="9" t="str">
        <f t="shared" si="13"/>
        <v>✅ STABLE</v>
      </c>
    </row>
    <row r="238" spans="2:13" ht="16" x14ac:dyDescent="0.45">
      <c r="B238" s="9" t="s">
        <v>384</v>
      </c>
      <c r="C238" s="5" t="s">
        <v>16</v>
      </c>
      <c r="D238" s="5" t="s">
        <v>808</v>
      </c>
      <c r="E238" s="6">
        <v>100</v>
      </c>
      <c r="F238" s="5">
        <v>100</v>
      </c>
      <c r="G238" s="5">
        <v>5</v>
      </c>
      <c r="H238" s="8">
        <f t="shared" si="11"/>
        <v>500</v>
      </c>
      <c r="I238" s="5"/>
      <c r="J238" s="5"/>
      <c r="K238" s="5"/>
      <c r="L238" s="9">
        <v>1</v>
      </c>
      <c r="M238" s="6" t="str">
        <f t="shared" si="13"/>
        <v>✅ STABLE</v>
      </c>
    </row>
    <row r="239" spans="2:13" ht="16" x14ac:dyDescent="0.45">
      <c r="B239" s="9" t="s">
        <v>385</v>
      </c>
      <c r="C239" s="5" t="s">
        <v>20</v>
      </c>
      <c r="D239" s="8" t="s">
        <v>787</v>
      </c>
      <c r="E239" s="9">
        <v>30</v>
      </c>
      <c r="F239" s="8">
        <v>380</v>
      </c>
      <c r="G239" s="8">
        <v>30</v>
      </c>
      <c r="H239" s="8">
        <f t="shared" si="11"/>
        <v>900</v>
      </c>
      <c r="I239" s="8"/>
      <c r="J239" s="8"/>
      <c r="K239" s="8"/>
      <c r="L239" s="9">
        <v>5</v>
      </c>
      <c r="M239" s="9" t="str">
        <f t="shared" si="13"/>
        <v>✅ STABLE</v>
      </c>
    </row>
    <row r="240" spans="2:13" ht="16" x14ac:dyDescent="0.45">
      <c r="B240" s="9" t="s">
        <v>386</v>
      </c>
      <c r="C240" s="5" t="s">
        <v>20</v>
      </c>
      <c r="D240" s="5" t="s">
        <v>756</v>
      </c>
      <c r="E240" s="6">
        <v>2</v>
      </c>
      <c r="F240" s="5">
        <v>420</v>
      </c>
      <c r="G240" s="5">
        <v>600</v>
      </c>
      <c r="H240" s="8">
        <f t="shared" si="11"/>
        <v>1200</v>
      </c>
      <c r="I240" s="5"/>
      <c r="J240" s="5"/>
      <c r="K240" s="5"/>
      <c r="L240" s="6">
        <v>1</v>
      </c>
      <c r="M240" s="6" t="str">
        <f t="shared" si="13"/>
        <v>✅ STABLE</v>
      </c>
    </row>
    <row r="241" spans="2:13" ht="16" x14ac:dyDescent="0.45">
      <c r="B241" s="9" t="s">
        <v>387</v>
      </c>
      <c r="C241" s="5" t="s">
        <v>20</v>
      </c>
      <c r="D241" s="8" t="s">
        <v>388</v>
      </c>
      <c r="E241" s="9">
        <v>0</v>
      </c>
      <c r="F241" s="8"/>
      <c r="G241" s="5">
        <v>0</v>
      </c>
      <c r="H241" s="8">
        <f t="shared" si="11"/>
        <v>0</v>
      </c>
      <c r="I241" s="8"/>
      <c r="J241" s="8"/>
      <c r="K241" s="8"/>
      <c r="L241" s="6">
        <v>1</v>
      </c>
      <c r="M241" s="9" t="str">
        <f t="shared" si="13"/>
        <v>⚠️ REORDER</v>
      </c>
    </row>
    <row r="242" spans="2:13" ht="16" x14ac:dyDescent="0.45">
      <c r="B242" s="9" t="s">
        <v>389</v>
      </c>
      <c r="C242" s="5" t="s">
        <v>20</v>
      </c>
      <c r="D242" s="5" t="s">
        <v>390</v>
      </c>
      <c r="E242" s="6">
        <v>100</v>
      </c>
      <c r="F242" s="5">
        <v>75</v>
      </c>
      <c r="G242" s="5">
        <v>5</v>
      </c>
      <c r="H242" s="8">
        <f t="shared" si="11"/>
        <v>500</v>
      </c>
      <c r="I242" s="5"/>
      <c r="J242" s="5"/>
      <c r="K242" s="5"/>
      <c r="L242" s="6">
        <v>5</v>
      </c>
      <c r="M242" s="6" t="str">
        <f t="shared" si="13"/>
        <v>✅ STABLE</v>
      </c>
    </row>
    <row r="243" spans="2:13" ht="16" x14ac:dyDescent="0.45">
      <c r="B243" s="9" t="s">
        <v>391</v>
      </c>
      <c r="C243" s="8" t="s">
        <v>17</v>
      </c>
      <c r="D243" s="8" t="s">
        <v>798</v>
      </c>
      <c r="E243" s="9">
        <v>50</v>
      </c>
      <c r="F243" s="8">
        <v>6</v>
      </c>
      <c r="G243" s="8">
        <v>10</v>
      </c>
      <c r="H243" s="8">
        <f t="shared" si="11"/>
        <v>500</v>
      </c>
      <c r="I243" s="8"/>
      <c r="J243" s="8"/>
      <c r="K243" s="8"/>
      <c r="L243" s="9">
        <v>5</v>
      </c>
      <c r="M243" s="9" t="str">
        <f t="shared" si="13"/>
        <v>✅ STABLE</v>
      </c>
    </row>
    <row r="244" spans="2:13" ht="16" x14ac:dyDescent="0.45">
      <c r="B244" s="9" t="s">
        <v>392</v>
      </c>
      <c r="C244" s="5" t="s">
        <v>17</v>
      </c>
      <c r="D244" s="8" t="s">
        <v>799</v>
      </c>
      <c r="E244" s="6">
        <v>10</v>
      </c>
      <c r="F244" s="5">
        <v>765</v>
      </c>
      <c r="G244" s="5">
        <v>15</v>
      </c>
      <c r="H244" s="8">
        <f t="shared" si="11"/>
        <v>150</v>
      </c>
      <c r="I244" s="5"/>
      <c r="J244" s="5"/>
      <c r="K244" s="5"/>
      <c r="L244" s="6">
        <v>5</v>
      </c>
      <c r="M244" s="6" t="str">
        <f t="shared" si="13"/>
        <v>✅ STABLE</v>
      </c>
    </row>
    <row r="245" spans="2:13" ht="16" x14ac:dyDescent="0.45">
      <c r="B245" s="9" t="s">
        <v>829</v>
      </c>
      <c r="C245" s="8" t="s">
        <v>34</v>
      </c>
      <c r="D245" s="25" t="s">
        <v>1042</v>
      </c>
      <c r="E245" s="9">
        <v>10</v>
      </c>
      <c r="F245" s="8">
        <v>2</v>
      </c>
      <c r="G245" s="8">
        <v>5</v>
      </c>
      <c r="H245" s="8">
        <f t="shared" si="11"/>
        <v>50</v>
      </c>
      <c r="I245" s="8"/>
      <c r="J245" s="8"/>
      <c r="K245" s="8"/>
      <c r="L245" s="6">
        <v>1</v>
      </c>
      <c r="M245" s="9" t="str">
        <f t="shared" si="13"/>
        <v>✅ STABLE</v>
      </c>
    </row>
    <row r="246" spans="2:13" ht="16" x14ac:dyDescent="0.45">
      <c r="B246" s="9" t="s">
        <v>393</v>
      </c>
      <c r="C246" s="5" t="s">
        <v>17</v>
      </c>
      <c r="D246" s="5" t="s">
        <v>920</v>
      </c>
      <c r="E246" s="6">
        <v>0</v>
      </c>
      <c r="F246" s="5">
        <v>100</v>
      </c>
      <c r="G246" s="5">
        <v>10</v>
      </c>
      <c r="H246" s="8">
        <f t="shared" si="11"/>
        <v>0</v>
      </c>
      <c r="I246" s="5"/>
      <c r="J246" s="5"/>
      <c r="K246" s="5"/>
      <c r="L246" s="9">
        <v>1</v>
      </c>
      <c r="M246" s="6" t="str">
        <f t="shared" ref="M246:M251" si="14">IF(E246&lt;=L246, "⚠️ REORDER", "✅ STABLE")</f>
        <v>⚠️ REORDER</v>
      </c>
    </row>
    <row r="247" spans="2:13" ht="16" x14ac:dyDescent="0.45">
      <c r="B247" s="9" t="s">
        <v>394</v>
      </c>
      <c r="C247" s="8" t="s">
        <v>17</v>
      </c>
      <c r="D247" s="8" t="s">
        <v>395</v>
      </c>
      <c r="E247" s="9">
        <v>0</v>
      </c>
      <c r="F247" s="8"/>
      <c r="G247" s="5">
        <v>0</v>
      </c>
      <c r="H247" s="8">
        <f t="shared" si="11"/>
        <v>0</v>
      </c>
      <c r="I247" s="8"/>
      <c r="J247" s="8"/>
      <c r="K247" s="8"/>
      <c r="L247" s="6">
        <v>1</v>
      </c>
      <c r="M247" s="9" t="str">
        <f t="shared" si="14"/>
        <v>⚠️ REORDER</v>
      </c>
    </row>
    <row r="248" spans="2:13" ht="16" x14ac:dyDescent="0.45">
      <c r="B248" s="9" t="s">
        <v>396</v>
      </c>
      <c r="C248" s="5" t="s">
        <v>17</v>
      </c>
      <c r="D248" s="5" t="s">
        <v>794</v>
      </c>
      <c r="E248" s="6">
        <v>20</v>
      </c>
      <c r="F248" s="5">
        <v>10</v>
      </c>
      <c r="G248" s="5">
        <v>15</v>
      </c>
      <c r="H248" s="8">
        <f t="shared" si="11"/>
        <v>300</v>
      </c>
      <c r="I248" s="5"/>
      <c r="J248" s="5"/>
      <c r="K248" s="5"/>
      <c r="L248" s="6">
        <v>5</v>
      </c>
      <c r="M248" s="6" t="str">
        <f t="shared" si="14"/>
        <v>✅ STABLE</v>
      </c>
    </row>
    <row r="249" spans="2:13" ht="16" x14ac:dyDescent="0.45">
      <c r="B249" s="9" t="s">
        <v>397</v>
      </c>
      <c r="C249" s="8" t="s">
        <v>17</v>
      </c>
      <c r="D249" s="8" t="s">
        <v>899</v>
      </c>
      <c r="E249" s="9">
        <v>2</v>
      </c>
      <c r="F249" s="8">
        <v>55</v>
      </c>
      <c r="G249" s="5">
        <v>150</v>
      </c>
      <c r="H249" s="8">
        <f t="shared" si="11"/>
        <v>300</v>
      </c>
      <c r="I249" s="8"/>
      <c r="J249" s="8"/>
      <c r="K249" s="8"/>
      <c r="L249" s="9">
        <v>1</v>
      </c>
      <c r="M249" s="9" t="str">
        <f t="shared" si="14"/>
        <v>✅ STABLE</v>
      </c>
    </row>
    <row r="250" spans="2:13" ht="16" x14ac:dyDescent="0.45">
      <c r="B250" s="9" t="s">
        <v>398</v>
      </c>
      <c r="C250" s="5" t="s">
        <v>29</v>
      </c>
      <c r="D250" s="5" t="s">
        <v>399</v>
      </c>
      <c r="E250" s="6">
        <v>0</v>
      </c>
      <c r="F250" s="5"/>
      <c r="G250" s="5">
        <v>0</v>
      </c>
      <c r="H250" s="8">
        <f t="shared" si="11"/>
        <v>0</v>
      </c>
      <c r="I250" s="5"/>
      <c r="J250" s="5"/>
      <c r="K250" s="5"/>
      <c r="L250" s="6">
        <v>1</v>
      </c>
      <c r="M250" s="6" t="str">
        <f t="shared" si="14"/>
        <v>⚠️ REORDER</v>
      </c>
    </row>
    <row r="251" spans="2:13" ht="16" x14ac:dyDescent="0.45">
      <c r="B251" s="9" t="s">
        <v>830</v>
      </c>
      <c r="C251" s="8" t="s">
        <v>14</v>
      </c>
      <c r="D251" s="8" t="s">
        <v>1149</v>
      </c>
      <c r="E251" s="9">
        <v>28</v>
      </c>
      <c r="F251" s="8">
        <v>6.7</v>
      </c>
      <c r="G251" s="8">
        <v>10</v>
      </c>
      <c r="H251" s="8">
        <f t="shared" si="11"/>
        <v>280</v>
      </c>
      <c r="I251" s="8"/>
      <c r="J251" s="8"/>
      <c r="K251" s="8"/>
      <c r="L251" s="6">
        <v>1</v>
      </c>
      <c r="M251" s="9" t="str">
        <f t="shared" si="14"/>
        <v>✅ STABLE</v>
      </c>
    </row>
    <row r="252" spans="2:13" ht="16" x14ac:dyDescent="0.45">
      <c r="B252" s="9" t="s">
        <v>400</v>
      </c>
      <c r="C252" s="5" t="s">
        <v>29</v>
      </c>
      <c r="D252" s="5" t="s">
        <v>401</v>
      </c>
      <c r="E252" s="6">
        <v>0</v>
      </c>
      <c r="F252" s="5"/>
      <c r="G252" s="5">
        <v>0</v>
      </c>
      <c r="H252" s="8">
        <f t="shared" si="11"/>
        <v>0</v>
      </c>
      <c r="I252" s="5"/>
      <c r="J252" s="5"/>
      <c r="K252" s="5"/>
      <c r="L252" s="6">
        <v>1</v>
      </c>
      <c r="M252" s="6" t="str">
        <f t="shared" ref="M252:M258" si="15">IF(E252&lt;=L252, "⚠️ REORDER", "✅ STABLE")</f>
        <v>⚠️ REORDER</v>
      </c>
    </row>
    <row r="253" spans="2:13" ht="16" x14ac:dyDescent="0.45">
      <c r="B253" s="9" t="s">
        <v>402</v>
      </c>
      <c r="C253" s="8" t="s">
        <v>29</v>
      </c>
      <c r="D253" s="8" t="s">
        <v>780</v>
      </c>
      <c r="E253" s="9">
        <v>5</v>
      </c>
      <c r="F253" s="8">
        <v>35</v>
      </c>
      <c r="G253" s="8">
        <v>300</v>
      </c>
      <c r="H253" s="8">
        <f t="shared" si="11"/>
        <v>1500</v>
      </c>
      <c r="I253" s="8"/>
      <c r="J253" s="8"/>
      <c r="K253" s="8"/>
      <c r="L253" s="9">
        <v>1</v>
      </c>
      <c r="M253" s="9" t="str">
        <f t="shared" si="15"/>
        <v>✅ STABLE</v>
      </c>
    </row>
    <row r="254" spans="2:13" ht="16" x14ac:dyDescent="0.45">
      <c r="B254" s="9" t="s">
        <v>403</v>
      </c>
      <c r="C254" s="5" t="s">
        <v>29</v>
      </c>
      <c r="D254" s="5" t="s">
        <v>783</v>
      </c>
      <c r="E254" s="6">
        <v>10</v>
      </c>
      <c r="F254" s="5">
        <v>35</v>
      </c>
      <c r="G254" s="5">
        <v>150</v>
      </c>
      <c r="H254" s="8">
        <f t="shared" si="11"/>
        <v>1500</v>
      </c>
      <c r="I254" s="5"/>
      <c r="J254" s="5"/>
      <c r="K254" s="5"/>
      <c r="L254" s="6">
        <v>2</v>
      </c>
      <c r="M254" s="6" t="str">
        <f t="shared" si="15"/>
        <v>✅ STABLE</v>
      </c>
    </row>
    <row r="255" spans="2:13" ht="16" x14ac:dyDescent="0.45">
      <c r="B255" s="9" t="s">
        <v>404</v>
      </c>
      <c r="C255" s="8" t="s">
        <v>29</v>
      </c>
      <c r="D255" s="8" t="s">
        <v>405</v>
      </c>
      <c r="E255" s="9">
        <v>0</v>
      </c>
      <c r="F255" s="8"/>
      <c r="G255" s="5">
        <v>0</v>
      </c>
      <c r="H255" s="8">
        <f t="shared" si="11"/>
        <v>0</v>
      </c>
      <c r="I255" s="8"/>
      <c r="J255" s="8"/>
      <c r="K255" s="8"/>
      <c r="L255" s="6">
        <v>1</v>
      </c>
      <c r="M255" s="9" t="str">
        <f t="shared" si="15"/>
        <v>⚠️ REORDER</v>
      </c>
    </row>
    <row r="256" spans="2:13" ht="16" x14ac:dyDescent="0.45">
      <c r="B256" s="9" t="s">
        <v>406</v>
      </c>
      <c r="C256" s="5" t="s">
        <v>29</v>
      </c>
      <c r="D256" s="5" t="s">
        <v>407</v>
      </c>
      <c r="E256" s="6">
        <v>0</v>
      </c>
      <c r="F256" s="5"/>
      <c r="G256" s="5">
        <v>0</v>
      </c>
      <c r="H256" s="8">
        <f t="shared" si="11"/>
        <v>0</v>
      </c>
      <c r="I256" s="5"/>
      <c r="J256" s="5"/>
      <c r="K256" s="5"/>
      <c r="L256" s="6">
        <v>1</v>
      </c>
      <c r="M256" s="6" t="str">
        <f t="shared" si="15"/>
        <v>⚠️ REORDER</v>
      </c>
    </row>
    <row r="257" spans="2:13" ht="16" x14ac:dyDescent="0.45">
      <c r="B257" s="9" t="s">
        <v>408</v>
      </c>
      <c r="C257" s="8" t="s">
        <v>29</v>
      </c>
      <c r="D257" s="8" t="s">
        <v>409</v>
      </c>
      <c r="E257" s="9">
        <v>0</v>
      </c>
      <c r="F257" s="8"/>
      <c r="G257" s="5">
        <v>0</v>
      </c>
      <c r="H257" s="8">
        <f t="shared" si="11"/>
        <v>0</v>
      </c>
      <c r="I257" s="8"/>
      <c r="J257" s="8"/>
      <c r="K257" s="8"/>
      <c r="L257" s="6">
        <v>1</v>
      </c>
      <c r="M257" s="9" t="str">
        <f t="shared" si="15"/>
        <v>⚠️ REORDER</v>
      </c>
    </row>
    <row r="258" spans="2:13" ht="16" x14ac:dyDescent="0.45">
      <c r="B258" s="9" t="s">
        <v>831</v>
      </c>
      <c r="C258" s="5"/>
      <c r="D258" s="5"/>
      <c r="E258" s="6"/>
      <c r="F258" s="5"/>
      <c r="G258" s="5"/>
      <c r="H258" s="8">
        <f t="shared" si="11"/>
        <v>0</v>
      </c>
      <c r="I258" s="5"/>
      <c r="J258" s="5"/>
      <c r="K258" s="5"/>
      <c r="L258" s="6">
        <v>1</v>
      </c>
      <c r="M258" s="9" t="str">
        <f t="shared" si="15"/>
        <v>⚠️ REORDER</v>
      </c>
    </row>
    <row r="259" spans="2:13" ht="16" x14ac:dyDescent="0.45">
      <c r="B259" s="9" t="s">
        <v>410</v>
      </c>
      <c r="C259" s="8" t="s">
        <v>29</v>
      </c>
      <c r="D259" s="8" t="s">
        <v>714</v>
      </c>
      <c r="E259" s="9">
        <v>3</v>
      </c>
      <c r="F259" s="8">
        <v>35</v>
      </c>
      <c r="G259" s="8">
        <v>150</v>
      </c>
      <c r="H259" s="8">
        <f t="shared" si="11"/>
        <v>450</v>
      </c>
      <c r="I259" s="8"/>
      <c r="J259" s="8"/>
      <c r="K259" s="8"/>
      <c r="L259" s="9">
        <v>1</v>
      </c>
      <c r="M259" s="9" t="str">
        <f t="shared" ref="M259:M290" si="16">IF(E259&lt;=L259, "⚠️ REORDER", "✅ STABLE")</f>
        <v>✅ STABLE</v>
      </c>
    </row>
    <row r="260" spans="2:13" ht="16" x14ac:dyDescent="0.45">
      <c r="B260" s="9" t="s">
        <v>411</v>
      </c>
      <c r="C260" s="5" t="s">
        <v>29</v>
      </c>
      <c r="D260" s="5" t="s">
        <v>412</v>
      </c>
      <c r="E260" s="6">
        <v>0</v>
      </c>
      <c r="F260" s="5"/>
      <c r="G260" s="5">
        <v>0</v>
      </c>
      <c r="H260" s="8">
        <f t="shared" si="11"/>
        <v>0</v>
      </c>
      <c r="I260" s="5"/>
      <c r="J260" s="5"/>
      <c r="K260" s="5"/>
      <c r="L260" s="6">
        <v>1</v>
      </c>
      <c r="M260" s="6" t="str">
        <f t="shared" si="16"/>
        <v>⚠️ REORDER</v>
      </c>
    </row>
    <row r="261" spans="2:13" ht="16" x14ac:dyDescent="0.45">
      <c r="B261" s="9" t="s">
        <v>413</v>
      </c>
      <c r="C261" s="8" t="s">
        <v>29</v>
      </c>
      <c r="D261" s="8" t="s">
        <v>800</v>
      </c>
      <c r="E261" s="9">
        <v>5</v>
      </c>
      <c r="F261" s="8">
        <v>25</v>
      </c>
      <c r="G261" s="8">
        <v>100</v>
      </c>
      <c r="H261" s="8">
        <f t="shared" ref="H261:H324" si="17">E261*G261</f>
        <v>500</v>
      </c>
      <c r="I261" s="8"/>
      <c r="J261" s="8"/>
      <c r="K261" s="8"/>
      <c r="L261" s="9">
        <v>1</v>
      </c>
      <c r="M261" s="9" t="str">
        <f t="shared" si="16"/>
        <v>✅ STABLE</v>
      </c>
    </row>
    <row r="262" spans="2:13" ht="16" x14ac:dyDescent="0.45">
      <c r="B262" s="9" t="s">
        <v>414</v>
      </c>
      <c r="C262" s="5" t="s">
        <v>29</v>
      </c>
      <c r="D262" s="5" t="s">
        <v>244</v>
      </c>
      <c r="E262" s="6">
        <v>0</v>
      </c>
      <c r="F262" s="5"/>
      <c r="G262" s="5">
        <v>0</v>
      </c>
      <c r="H262" s="8">
        <f t="shared" si="17"/>
        <v>0</v>
      </c>
      <c r="I262" s="5"/>
      <c r="J262" s="5"/>
      <c r="K262" s="5"/>
      <c r="L262" s="6">
        <v>1</v>
      </c>
      <c r="M262" s="6" t="str">
        <f t="shared" si="16"/>
        <v>⚠️ REORDER</v>
      </c>
    </row>
    <row r="263" spans="2:13" ht="16" x14ac:dyDescent="0.45">
      <c r="B263" s="9" t="s">
        <v>415</v>
      </c>
      <c r="C263" s="8" t="s">
        <v>29</v>
      </c>
      <c r="D263" s="8" t="s">
        <v>416</v>
      </c>
      <c r="E263" s="9">
        <v>10</v>
      </c>
      <c r="F263" s="8">
        <v>7</v>
      </c>
      <c r="G263" s="8">
        <v>50</v>
      </c>
      <c r="H263" s="8">
        <f t="shared" si="17"/>
        <v>500</v>
      </c>
      <c r="I263" s="8"/>
      <c r="J263" s="8"/>
      <c r="K263" s="8"/>
      <c r="L263" s="9">
        <v>5</v>
      </c>
      <c r="M263" s="9" t="str">
        <f t="shared" si="16"/>
        <v>✅ STABLE</v>
      </c>
    </row>
    <row r="264" spans="2:13" ht="16" x14ac:dyDescent="0.45">
      <c r="B264" s="9" t="s">
        <v>417</v>
      </c>
      <c r="C264" s="5" t="s">
        <v>32</v>
      </c>
      <c r="D264" s="5" t="s">
        <v>802</v>
      </c>
      <c r="E264" s="6">
        <v>5</v>
      </c>
      <c r="F264" s="5">
        <v>12</v>
      </c>
      <c r="G264" s="5">
        <v>40</v>
      </c>
      <c r="H264" s="8">
        <f t="shared" si="17"/>
        <v>200</v>
      </c>
      <c r="I264" s="5"/>
      <c r="J264" s="5"/>
      <c r="K264" s="5"/>
      <c r="L264" s="6">
        <v>2</v>
      </c>
      <c r="M264" s="6" t="str">
        <f t="shared" si="16"/>
        <v>✅ STABLE</v>
      </c>
    </row>
    <row r="265" spans="2:13" ht="16" x14ac:dyDescent="0.45">
      <c r="B265" s="9" t="s">
        <v>418</v>
      </c>
      <c r="C265" s="8" t="s">
        <v>32</v>
      </c>
      <c r="D265" s="8" t="s">
        <v>419</v>
      </c>
      <c r="E265" s="9">
        <v>0</v>
      </c>
      <c r="F265" s="8">
        <v>0</v>
      </c>
      <c r="G265" s="5">
        <v>0</v>
      </c>
      <c r="H265" s="8">
        <f t="shared" si="17"/>
        <v>0</v>
      </c>
      <c r="I265" s="8"/>
      <c r="J265" s="8"/>
      <c r="K265" s="8"/>
      <c r="L265" s="6">
        <v>1</v>
      </c>
      <c r="M265" s="9" t="str">
        <f t="shared" si="16"/>
        <v>⚠️ REORDER</v>
      </c>
    </row>
    <row r="266" spans="2:13" ht="16" x14ac:dyDescent="0.45">
      <c r="B266" s="9" t="s">
        <v>420</v>
      </c>
      <c r="C266" s="5" t="s">
        <v>32</v>
      </c>
      <c r="D266" s="5" t="s">
        <v>421</v>
      </c>
      <c r="E266" s="6">
        <v>0</v>
      </c>
      <c r="F266" s="5"/>
      <c r="G266" s="5">
        <v>0</v>
      </c>
      <c r="H266" s="8">
        <f t="shared" si="17"/>
        <v>0</v>
      </c>
      <c r="I266" s="5"/>
      <c r="J266" s="5"/>
      <c r="K266" s="5"/>
      <c r="L266" s="6">
        <v>1</v>
      </c>
      <c r="M266" s="6" t="str">
        <f t="shared" si="16"/>
        <v>⚠️ REORDER</v>
      </c>
    </row>
    <row r="267" spans="2:13" ht="16" x14ac:dyDescent="0.45">
      <c r="B267" s="9" t="s">
        <v>422</v>
      </c>
      <c r="C267" s="8" t="s">
        <v>32</v>
      </c>
      <c r="D267" s="8" t="s">
        <v>423</v>
      </c>
      <c r="E267" s="9">
        <v>0</v>
      </c>
      <c r="F267" s="8"/>
      <c r="G267" s="5">
        <v>0</v>
      </c>
      <c r="H267" s="8">
        <f t="shared" si="17"/>
        <v>0</v>
      </c>
      <c r="I267" s="8"/>
      <c r="J267" s="8"/>
      <c r="K267" s="8"/>
      <c r="L267" s="6">
        <v>1</v>
      </c>
      <c r="M267" s="9" t="str">
        <f t="shared" si="16"/>
        <v>⚠️ REORDER</v>
      </c>
    </row>
    <row r="268" spans="2:13" ht="16" x14ac:dyDescent="0.45">
      <c r="B268" s="9" t="s">
        <v>424</v>
      </c>
      <c r="C268" s="5" t="s">
        <v>32</v>
      </c>
      <c r="D268" s="5" t="s">
        <v>425</v>
      </c>
      <c r="E268" s="6">
        <v>0</v>
      </c>
      <c r="F268" s="5"/>
      <c r="G268" s="5">
        <v>0</v>
      </c>
      <c r="H268" s="8">
        <f t="shared" si="17"/>
        <v>0</v>
      </c>
      <c r="I268" s="5"/>
      <c r="J268" s="5"/>
      <c r="K268" s="5"/>
      <c r="L268" s="6">
        <v>1</v>
      </c>
      <c r="M268" s="6" t="str">
        <f t="shared" si="16"/>
        <v>⚠️ REORDER</v>
      </c>
    </row>
    <row r="269" spans="2:13" ht="16" x14ac:dyDescent="0.45">
      <c r="B269" s="9" t="s">
        <v>426</v>
      </c>
      <c r="C269" s="8" t="s">
        <v>32</v>
      </c>
      <c r="D269" s="8" t="s">
        <v>821</v>
      </c>
      <c r="E269" s="9">
        <v>1</v>
      </c>
      <c r="F269" s="8"/>
      <c r="G269" s="5">
        <v>0</v>
      </c>
      <c r="H269" s="8">
        <f t="shared" si="17"/>
        <v>0</v>
      </c>
      <c r="I269" s="8"/>
      <c r="J269" s="8"/>
      <c r="K269" s="8"/>
      <c r="L269" s="6">
        <v>1</v>
      </c>
      <c r="M269" s="9" t="str">
        <f t="shared" si="16"/>
        <v>⚠️ REORDER</v>
      </c>
    </row>
    <row r="270" spans="2:13" ht="16" x14ac:dyDescent="0.45">
      <c r="B270" s="9" t="s">
        <v>427</v>
      </c>
      <c r="C270" s="5" t="s">
        <v>32</v>
      </c>
      <c r="D270" s="5" t="s">
        <v>428</v>
      </c>
      <c r="E270" s="6">
        <v>200</v>
      </c>
      <c r="F270" s="5">
        <v>60</v>
      </c>
      <c r="G270" s="5">
        <v>1</v>
      </c>
      <c r="H270" s="8">
        <f t="shared" si="17"/>
        <v>200</v>
      </c>
      <c r="I270" s="5"/>
      <c r="J270" s="5"/>
      <c r="K270" s="5"/>
      <c r="L270" s="6">
        <v>5</v>
      </c>
      <c r="M270" s="6" t="str">
        <f t="shared" si="16"/>
        <v>✅ STABLE</v>
      </c>
    </row>
    <row r="271" spans="2:13" ht="16" x14ac:dyDescent="0.45">
      <c r="B271" s="9" t="s">
        <v>429</v>
      </c>
      <c r="C271" s="8" t="s">
        <v>32</v>
      </c>
      <c r="D271" s="8" t="s">
        <v>430</v>
      </c>
      <c r="E271" s="9">
        <v>1</v>
      </c>
      <c r="F271" s="8"/>
      <c r="G271" s="5">
        <v>0</v>
      </c>
      <c r="H271" s="8">
        <f t="shared" si="17"/>
        <v>0</v>
      </c>
      <c r="I271" s="8"/>
      <c r="J271" s="8"/>
      <c r="K271" s="8"/>
      <c r="L271" s="6">
        <v>1</v>
      </c>
      <c r="M271" s="9" t="str">
        <f t="shared" si="16"/>
        <v>⚠️ REORDER</v>
      </c>
    </row>
    <row r="272" spans="2:13" ht="16" x14ac:dyDescent="0.45">
      <c r="B272" s="9" t="s">
        <v>431</v>
      </c>
      <c r="C272" s="5" t="s">
        <v>32</v>
      </c>
      <c r="D272" s="5" t="s">
        <v>432</v>
      </c>
      <c r="E272" s="6">
        <v>1</v>
      </c>
      <c r="F272" s="5"/>
      <c r="G272" s="5">
        <v>0</v>
      </c>
      <c r="H272" s="8">
        <f t="shared" si="17"/>
        <v>0</v>
      </c>
      <c r="I272" s="5"/>
      <c r="J272" s="5"/>
      <c r="K272" s="5"/>
      <c r="L272" s="6">
        <v>1</v>
      </c>
      <c r="M272" s="9" t="str">
        <f t="shared" si="16"/>
        <v>⚠️ REORDER</v>
      </c>
    </row>
    <row r="273" spans="2:13" ht="16" x14ac:dyDescent="0.45">
      <c r="B273" s="9" t="s">
        <v>433</v>
      </c>
      <c r="C273" s="8" t="s">
        <v>32</v>
      </c>
      <c r="D273" s="8" t="s">
        <v>434</v>
      </c>
      <c r="E273" s="9">
        <v>1</v>
      </c>
      <c r="F273" s="8"/>
      <c r="G273" s="5">
        <v>0</v>
      </c>
      <c r="H273" s="8">
        <f t="shared" si="17"/>
        <v>0</v>
      </c>
      <c r="I273" s="8"/>
      <c r="J273" s="8"/>
      <c r="K273" s="8"/>
      <c r="L273" s="6">
        <v>1</v>
      </c>
      <c r="M273" s="9" t="str">
        <f t="shared" si="16"/>
        <v>⚠️ REORDER</v>
      </c>
    </row>
    <row r="274" spans="2:13" ht="16" x14ac:dyDescent="0.45">
      <c r="B274" s="9" t="s">
        <v>435</v>
      </c>
      <c r="C274" s="5" t="s">
        <v>32</v>
      </c>
      <c r="D274" s="5" t="s">
        <v>436</v>
      </c>
      <c r="E274" s="6">
        <v>1</v>
      </c>
      <c r="F274" s="5"/>
      <c r="G274" s="5">
        <v>0</v>
      </c>
      <c r="H274" s="8">
        <f t="shared" si="17"/>
        <v>0</v>
      </c>
      <c r="I274" s="5"/>
      <c r="J274" s="5"/>
      <c r="K274" s="5"/>
      <c r="L274" s="6">
        <v>1</v>
      </c>
      <c r="M274" s="9" t="str">
        <f t="shared" si="16"/>
        <v>⚠️ REORDER</v>
      </c>
    </row>
    <row r="275" spans="2:13" ht="16" x14ac:dyDescent="0.45">
      <c r="B275" s="9" t="s">
        <v>437</v>
      </c>
      <c r="C275" s="8" t="s">
        <v>32</v>
      </c>
      <c r="D275" s="25" t="s">
        <v>1023</v>
      </c>
      <c r="E275" s="9">
        <v>2</v>
      </c>
      <c r="F275" s="8">
        <v>22</v>
      </c>
      <c r="G275" s="8">
        <v>50</v>
      </c>
      <c r="H275" s="8">
        <f t="shared" si="17"/>
        <v>100</v>
      </c>
      <c r="I275" s="8"/>
      <c r="J275" s="8"/>
      <c r="K275" s="8"/>
      <c r="L275" s="9">
        <v>1</v>
      </c>
      <c r="M275" s="9" t="str">
        <f t="shared" si="16"/>
        <v>✅ STABLE</v>
      </c>
    </row>
    <row r="276" spans="2:13" ht="16" x14ac:dyDescent="0.45">
      <c r="B276" s="9" t="s">
        <v>438</v>
      </c>
      <c r="C276" s="5" t="s">
        <v>32</v>
      </c>
      <c r="D276" s="22" t="s">
        <v>1024</v>
      </c>
      <c r="E276" s="6">
        <v>2</v>
      </c>
      <c r="F276" s="5">
        <v>33</v>
      </c>
      <c r="G276" s="5">
        <v>100</v>
      </c>
      <c r="H276" s="8">
        <f t="shared" si="17"/>
        <v>200</v>
      </c>
      <c r="I276" s="5"/>
      <c r="J276" s="5"/>
      <c r="K276" s="5"/>
      <c r="L276" s="9">
        <v>1</v>
      </c>
      <c r="M276" s="6" t="str">
        <f t="shared" si="16"/>
        <v>✅ STABLE</v>
      </c>
    </row>
    <row r="277" spans="2:13" ht="16" x14ac:dyDescent="0.45">
      <c r="B277" s="9" t="s">
        <v>439</v>
      </c>
      <c r="C277" s="8" t="s">
        <v>32</v>
      </c>
      <c r="D277" s="25" t="s">
        <v>1025</v>
      </c>
      <c r="E277" s="9">
        <v>1</v>
      </c>
      <c r="F277" s="8">
        <v>89</v>
      </c>
      <c r="G277" s="8">
        <v>150</v>
      </c>
      <c r="H277" s="8">
        <f t="shared" si="17"/>
        <v>150</v>
      </c>
      <c r="I277" s="8"/>
      <c r="J277" s="8"/>
      <c r="K277" s="8"/>
      <c r="L277" s="6">
        <v>1</v>
      </c>
      <c r="M277" s="9" t="str">
        <f t="shared" si="16"/>
        <v>⚠️ REORDER</v>
      </c>
    </row>
    <row r="278" spans="2:13" ht="16" x14ac:dyDescent="0.45">
      <c r="B278" s="9" t="s">
        <v>440</v>
      </c>
      <c r="C278" s="5" t="s">
        <v>32</v>
      </c>
      <c r="D278" s="5" t="s">
        <v>441</v>
      </c>
      <c r="E278" s="6">
        <v>0</v>
      </c>
      <c r="F278" s="5"/>
      <c r="G278" s="5">
        <v>0</v>
      </c>
      <c r="H278" s="8">
        <f t="shared" si="17"/>
        <v>0</v>
      </c>
      <c r="I278" s="5"/>
      <c r="J278" s="5"/>
      <c r="K278" s="5"/>
      <c r="L278" s="6">
        <v>1</v>
      </c>
      <c r="M278" s="6" t="str">
        <f t="shared" si="16"/>
        <v>⚠️ REORDER</v>
      </c>
    </row>
    <row r="279" spans="2:13" ht="16" x14ac:dyDescent="0.45">
      <c r="B279" s="9" t="s">
        <v>442</v>
      </c>
      <c r="C279" s="8" t="s">
        <v>32</v>
      </c>
      <c r="D279" s="8" t="s">
        <v>902</v>
      </c>
      <c r="E279" s="9">
        <v>0</v>
      </c>
      <c r="F279" s="8"/>
      <c r="G279" s="5">
        <v>0</v>
      </c>
      <c r="H279" s="8">
        <f t="shared" si="17"/>
        <v>0</v>
      </c>
      <c r="I279" s="8"/>
      <c r="J279" s="8"/>
      <c r="K279" s="8"/>
      <c r="L279" s="6">
        <v>1</v>
      </c>
      <c r="M279" s="9" t="str">
        <f t="shared" si="16"/>
        <v>⚠️ REORDER</v>
      </c>
    </row>
    <row r="280" spans="2:13" ht="16" x14ac:dyDescent="0.45">
      <c r="B280" s="9" t="s">
        <v>443</v>
      </c>
      <c r="C280" s="5" t="s">
        <v>32</v>
      </c>
      <c r="D280" s="5" t="s">
        <v>903</v>
      </c>
      <c r="E280" s="6">
        <v>1</v>
      </c>
      <c r="F280" s="5">
        <v>80</v>
      </c>
      <c r="G280" s="5">
        <v>150</v>
      </c>
      <c r="H280" s="8">
        <f t="shared" si="17"/>
        <v>150</v>
      </c>
      <c r="I280" s="5"/>
      <c r="J280" s="5"/>
      <c r="K280" s="5"/>
      <c r="L280" s="6">
        <v>1</v>
      </c>
      <c r="M280" s="9" t="str">
        <f t="shared" si="16"/>
        <v>⚠️ REORDER</v>
      </c>
    </row>
    <row r="281" spans="2:13" ht="16" x14ac:dyDescent="0.45">
      <c r="B281" s="9" t="s">
        <v>444</v>
      </c>
      <c r="C281" s="8" t="s">
        <v>32</v>
      </c>
      <c r="D281" s="8" t="s">
        <v>904</v>
      </c>
      <c r="E281" s="9">
        <v>0</v>
      </c>
      <c r="F281" s="8"/>
      <c r="G281" s="5">
        <v>0</v>
      </c>
      <c r="H281" s="8">
        <f t="shared" si="17"/>
        <v>0</v>
      </c>
      <c r="I281" s="8"/>
      <c r="J281" s="8"/>
      <c r="K281" s="8"/>
      <c r="L281" s="6">
        <v>1</v>
      </c>
      <c r="M281" s="9" t="str">
        <f t="shared" si="16"/>
        <v>⚠️ REORDER</v>
      </c>
    </row>
    <row r="282" spans="2:13" ht="16" x14ac:dyDescent="0.45">
      <c r="B282" s="9" t="s">
        <v>445</v>
      </c>
      <c r="C282" s="5" t="s">
        <v>32</v>
      </c>
      <c r="D282" s="5" t="s">
        <v>446</v>
      </c>
      <c r="E282" s="6">
        <v>100</v>
      </c>
      <c r="F282" s="5">
        <v>445</v>
      </c>
      <c r="G282" s="5">
        <v>10</v>
      </c>
      <c r="H282" s="8">
        <f t="shared" si="17"/>
        <v>1000</v>
      </c>
      <c r="I282" s="5"/>
      <c r="J282" s="5"/>
      <c r="K282" s="5"/>
      <c r="L282" s="6">
        <v>5</v>
      </c>
      <c r="M282" s="6" t="str">
        <f t="shared" si="16"/>
        <v>✅ STABLE</v>
      </c>
    </row>
    <row r="283" spans="2:13" ht="16" x14ac:dyDescent="0.45">
      <c r="B283" s="9" t="s">
        <v>447</v>
      </c>
      <c r="C283" s="8" t="s">
        <v>32</v>
      </c>
      <c r="D283" s="8" t="s">
        <v>448</v>
      </c>
      <c r="E283" s="6">
        <v>100</v>
      </c>
      <c r="F283" s="8">
        <v>375</v>
      </c>
      <c r="G283" s="5">
        <v>10</v>
      </c>
      <c r="H283" s="8">
        <f t="shared" si="17"/>
        <v>1000</v>
      </c>
      <c r="I283" s="8"/>
      <c r="J283" s="8"/>
      <c r="K283" s="8"/>
      <c r="L283" s="9">
        <v>5</v>
      </c>
      <c r="M283" s="9" t="str">
        <f t="shared" si="16"/>
        <v>✅ STABLE</v>
      </c>
    </row>
    <row r="284" spans="2:13" ht="16" x14ac:dyDescent="0.45">
      <c r="B284" s="9" t="s">
        <v>449</v>
      </c>
      <c r="C284" s="5" t="s">
        <v>32</v>
      </c>
      <c r="D284" s="5" t="s">
        <v>450</v>
      </c>
      <c r="E284" s="6">
        <v>100</v>
      </c>
      <c r="F284" s="5">
        <v>310</v>
      </c>
      <c r="G284" s="5">
        <v>10</v>
      </c>
      <c r="H284" s="8">
        <f t="shared" si="17"/>
        <v>1000</v>
      </c>
      <c r="I284" s="5"/>
      <c r="J284" s="5"/>
      <c r="K284" s="5"/>
      <c r="L284" s="6">
        <v>5</v>
      </c>
      <c r="M284" s="6" t="str">
        <f t="shared" si="16"/>
        <v>✅ STABLE</v>
      </c>
    </row>
    <row r="285" spans="2:13" ht="16" x14ac:dyDescent="0.45">
      <c r="B285" s="9" t="s">
        <v>451</v>
      </c>
      <c r="C285" s="8" t="s">
        <v>32</v>
      </c>
      <c r="D285" s="8" t="s">
        <v>452</v>
      </c>
      <c r="E285" s="9">
        <v>100</v>
      </c>
      <c r="F285" s="8">
        <v>120</v>
      </c>
      <c r="G285" s="8">
        <v>5</v>
      </c>
      <c r="H285" s="8">
        <f t="shared" si="17"/>
        <v>500</v>
      </c>
      <c r="I285" s="8"/>
      <c r="J285" s="8"/>
      <c r="K285" s="8"/>
      <c r="L285" s="9">
        <v>5</v>
      </c>
      <c r="M285" s="9" t="str">
        <f t="shared" si="16"/>
        <v>✅ STABLE</v>
      </c>
    </row>
    <row r="286" spans="2:13" ht="16" x14ac:dyDescent="0.45">
      <c r="B286" s="9" t="s">
        <v>453</v>
      </c>
      <c r="C286" s="5" t="s">
        <v>32</v>
      </c>
      <c r="D286" s="5" t="s">
        <v>454</v>
      </c>
      <c r="E286" s="6">
        <v>100</v>
      </c>
      <c r="F286" s="5">
        <v>120</v>
      </c>
      <c r="G286" s="5">
        <v>5</v>
      </c>
      <c r="H286" s="8">
        <f t="shared" si="17"/>
        <v>500</v>
      </c>
      <c r="I286" s="5"/>
      <c r="J286" s="5"/>
      <c r="K286" s="5"/>
      <c r="L286" s="6">
        <v>5</v>
      </c>
      <c r="M286" s="6" t="str">
        <f t="shared" si="16"/>
        <v>✅ STABLE</v>
      </c>
    </row>
    <row r="287" spans="2:13" ht="16" x14ac:dyDescent="0.45">
      <c r="B287" s="9" t="s">
        <v>455</v>
      </c>
      <c r="C287" s="8" t="s">
        <v>32</v>
      </c>
      <c r="D287" s="8" t="s">
        <v>456</v>
      </c>
      <c r="E287" s="9">
        <v>1</v>
      </c>
      <c r="F287" s="8">
        <v>299</v>
      </c>
      <c r="G287" s="8">
        <v>400</v>
      </c>
      <c r="H287" s="8">
        <f t="shared" si="17"/>
        <v>400</v>
      </c>
      <c r="I287" s="8"/>
      <c r="J287" s="8"/>
      <c r="K287" s="8"/>
      <c r="L287" s="6">
        <v>1</v>
      </c>
      <c r="M287" s="9" t="str">
        <f t="shared" si="16"/>
        <v>⚠️ REORDER</v>
      </c>
    </row>
    <row r="288" spans="2:13" ht="16" x14ac:dyDescent="0.45">
      <c r="B288" s="9" t="s">
        <v>457</v>
      </c>
      <c r="C288" s="5" t="s">
        <v>32</v>
      </c>
      <c r="D288" s="5" t="s">
        <v>458</v>
      </c>
      <c r="E288" s="6">
        <v>2</v>
      </c>
      <c r="F288" s="5">
        <v>154</v>
      </c>
      <c r="G288" s="5">
        <v>200</v>
      </c>
      <c r="H288" s="8">
        <f t="shared" si="17"/>
        <v>400</v>
      </c>
      <c r="I288" s="5"/>
      <c r="J288" s="5"/>
      <c r="K288" s="5"/>
      <c r="L288" s="9">
        <v>1</v>
      </c>
      <c r="M288" s="6" t="str">
        <f t="shared" si="16"/>
        <v>✅ STABLE</v>
      </c>
    </row>
    <row r="289" spans="2:13" ht="16" x14ac:dyDescent="0.45">
      <c r="B289" s="9" t="s">
        <v>459</v>
      </c>
      <c r="C289" s="8" t="s">
        <v>32</v>
      </c>
      <c r="D289" s="8" t="s">
        <v>460</v>
      </c>
      <c r="E289" s="9">
        <v>2</v>
      </c>
      <c r="F289" s="8">
        <v>88</v>
      </c>
      <c r="G289" s="8">
        <v>150</v>
      </c>
      <c r="H289" s="8">
        <f t="shared" si="17"/>
        <v>300</v>
      </c>
      <c r="I289" s="8"/>
      <c r="J289" s="8"/>
      <c r="K289" s="8"/>
      <c r="L289" s="9">
        <v>1</v>
      </c>
      <c r="M289" s="9" t="str">
        <f t="shared" si="16"/>
        <v>✅ STABLE</v>
      </c>
    </row>
    <row r="290" spans="2:13" ht="16" x14ac:dyDescent="0.45">
      <c r="B290" s="9" t="s">
        <v>461</v>
      </c>
      <c r="C290" s="5" t="s">
        <v>32</v>
      </c>
      <c r="D290" s="5" t="s">
        <v>462</v>
      </c>
      <c r="E290" s="6">
        <v>2</v>
      </c>
      <c r="F290" s="5">
        <v>48</v>
      </c>
      <c r="G290" s="5">
        <v>100</v>
      </c>
      <c r="H290" s="8">
        <f t="shared" si="17"/>
        <v>200</v>
      </c>
      <c r="I290" s="5"/>
      <c r="J290" s="5"/>
      <c r="K290" s="5"/>
      <c r="L290" s="9">
        <v>1</v>
      </c>
      <c r="M290" s="6" t="str">
        <f t="shared" si="16"/>
        <v>✅ STABLE</v>
      </c>
    </row>
    <row r="291" spans="2:13" ht="16" x14ac:dyDescent="0.45">
      <c r="B291" s="9" t="s">
        <v>463</v>
      </c>
      <c r="C291" s="8" t="s">
        <v>32</v>
      </c>
      <c r="D291" s="8" t="s">
        <v>464</v>
      </c>
      <c r="E291" s="9">
        <v>3</v>
      </c>
      <c r="F291" s="8">
        <v>80</v>
      </c>
      <c r="G291" s="8">
        <v>150</v>
      </c>
      <c r="H291" s="8">
        <f t="shared" si="17"/>
        <v>450</v>
      </c>
      <c r="I291" s="8"/>
      <c r="J291" s="8"/>
      <c r="K291" s="8"/>
      <c r="L291" s="9">
        <v>1</v>
      </c>
      <c r="M291" s="9" t="str">
        <f t="shared" ref="M291:M316" si="18">IF(E291&lt;=L291, "⚠️ REORDER", "✅ STABLE")</f>
        <v>✅ STABLE</v>
      </c>
    </row>
    <row r="292" spans="2:13" ht="16" x14ac:dyDescent="0.45">
      <c r="B292" s="9" t="s">
        <v>465</v>
      </c>
      <c r="C292" s="5" t="s">
        <v>32</v>
      </c>
      <c r="D292" s="5" t="s">
        <v>466</v>
      </c>
      <c r="E292" s="6">
        <v>0</v>
      </c>
      <c r="F292" s="5"/>
      <c r="G292" s="5">
        <v>0</v>
      </c>
      <c r="H292" s="8">
        <f t="shared" si="17"/>
        <v>0</v>
      </c>
      <c r="I292" s="5"/>
      <c r="J292" s="5"/>
      <c r="K292" s="5"/>
      <c r="L292" s="6">
        <v>1</v>
      </c>
      <c r="M292" s="6" t="str">
        <f t="shared" si="18"/>
        <v>⚠️ REORDER</v>
      </c>
    </row>
    <row r="293" spans="2:13" ht="16" x14ac:dyDescent="0.45">
      <c r="B293" s="9" t="s">
        <v>467</v>
      </c>
      <c r="C293" s="8" t="s">
        <v>32</v>
      </c>
      <c r="D293" s="8" t="s">
        <v>468</v>
      </c>
      <c r="E293" s="9">
        <v>0</v>
      </c>
      <c r="F293" s="8"/>
      <c r="G293" s="5">
        <v>0</v>
      </c>
      <c r="H293" s="8">
        <f t="shared" si="17"/>
        <v>0</v>
      </c>
      <c r="I293" s="8"/>
      <c r="J293" s="8"/>
      <c r="K293" s="8"/>
      <c r="L293" s="6">
        <v>1</v>
      </c>
      <c r="M293" s="9" t="str">
        <f t="shared" si="18"/>
        <v>⚠️ REORDER</v>
      </c>
    </row>
    <row r="294" spans="2:13" ht="16" x14ac:dyDescent="0.45">
      <c r="B294" s="9" t="s">
        <v>469</v>
      </c>
      <c r="C294" s="5" t="s">
        <v>32</v>
      </c>
      <c r="D294" s="5" t="s">
        <v>710</v>
      </c>
      <c r="E294" s="6">
        <v>50</v>
      </c>
      <c r="F294" s="5">
        <v>2.9</v>
      </c>
      <c r="G294" s="5">
        <v>10</v>
      </c>
      <c r="H294" s="8">
        <f t="shared" si="17"/>
        <v>500</v>
      </c>
      <c r="I294" s="5"/>
      <c r="J294" s="5"/>
      <c r="K294" s="5"/>
      <c r="L294" s="6">
        <v>5</v>
      </c>
      <c r="M294" s="6" t="str">
        <f t="shared" si="18"/>
        <v>✅ STABLE</v>
      </c>
    </row>
    <row r="295" spans="2:13" ht="16" x14ac:dyDescent="0.45">
      <c r="B295" s="9" t="s">
        <v>470</v>
      </c>
      <c r="C295" s="8" t="s">
        <v>32</v>
      </c>
      <c r="D295" s="8" t="s">
        <v>711</v>
      </c>
      <c r="E295" s="9">
        <v>50</v>
      </c>
      <c r="F295" s="8">
        <v>2.6</v>
      </c>
      <c r="G295" s="5">
        <v>10</v>
      </c>
      <c r="H295" s="8">
        <f t="shared" si="17"/>
        <v>500</v>
      </c>
      <c r="I295" s="8"/>
      <c r="J295" s="8"/>
      <c r="K295" s="8"/>
      <c r="L295" s="9">
        <v>1</v>
      </c>
      <c r="M295" s="9" t="str">
        <f t="shared" si="18"/>
        <v>✅ STABLE</v>
      </c>
    </row>
    <row r="296" spans="2:13" ht="16" x14ac:dyDescent="0.45">
      <c r="B296" s="9" t="s">
        <v>471</v>
      </c>
      <c r="C296" s="5" t="s">
        <v>32</v>
      </c>
      <c r="D296" s="5" t="s">
        <v>472</v>
      </c>
      <c r="E296" s="6">
        <v>10</v>
      </c>
      <c r="F296" s="5">
        <v>35</v>
      </c>
      <c r="G296" s="5">
        <v>60</v>
      </c>
      <c r="H296" s="8">
        <f t="shared" si="17"/>
        <v>600</v>
      </c>
      <c r="I296" s="5"/>
      <c r="J296" s="5"/>
      <c r="K296" s="5"/>
      <c r="L296" s="6">
        <v>5</v>
      </c>
      <c r="M296" s="6" t="str">
        <f t="shared" si="18"/>
        <v>✅ STABLE</v>
      </c>
    </row>
    <row r="297" spans="2:13" ht="16" x14ac:dyDescent="0.45">
      <c r="B297" s="9" t="s">
        <v>473</v>
      </c>
      <c r="C297" s="8" t="s">
        <v>32</v>
      </c>
      <c r="D297" s="8" t="s">
        <v>474</v>
      </c>
      <c r="E297" s="9">
        <v>12</v>
      </c>
      <c r="F297" s="8"/>
      <c r="G297" s="5">
        <v>0</v>
      </c>
      <c r="H297" s="8">
        <f t="shared" si="17"/>
        <v>0</v>
      </c>
      <c r="I297" s="8"/>
      <c r="J297" s="8"/>
      <c r="K297" s="8"/>
      <c r="L297" s="9">
        <v>1</v>
      </c>
      <c r="M297" s="9" t="str">
        <f t="shared" si="18"/>
        <v>✅ STABLE</v>
      </c>
    </row>
    <row r="298" spans="2:13" ht="16" x14ac:dyDescent="0.45">
      <c r="B298" s="9" t="s">
        <v>475</v>
      </c>
      <c r="C298" s="5" t="s">
        <v>32</v>
      </c>
      <c r="D298" s="5" t="s">
        <v>476</v>
      </c>
      <c r="E298" s="6">
        <v>0</v>
      </c>
      <c r="F298" s="5"/>
      <c r="G298" s="5">
        <v>0</v>
      </c>
      <c r="H298" s="8">
        <f t="shared" si="17"/>
        <v>0</v>
      </c>
      <c r="I298" s="5"/>
      <c r="J298" s="5"/>
      <c r="K298" s="5"/>
      <c r="L298" s="6">
        <v>1</v>
      </c>
      <c r="M298" s="6" t="str">
        <f t="shared" si="18"/>
        <v>⚠️ REORDER</v>
      </c>
    </row>
    <row r="299" spans="2:13" ht="16" x14ac:dyDescent="0.45">
      <c r="B299" s="9" t="s">
        <v>477</v>
      </c>
      <c r="C299" s="8" t="s">
        <v>32</v>
      </c>
      <c r="D299" s="8" t="s">
        <v>478</v>
      </c>
      <c r="E299" s="9">
        <v>0</v>
      </c>
      <c r="F299" s="8"/>
      <c r="G299" s="5">
        <v>0</v>
      </c>
      <c r="H299" s="8">
        <f t="shared" si="17"/>
        <v>0</v>
      </c>
      <c r="I299" s="8"/>
      <c r="J299" s="8"/>
      <c r="K299" s="8"/>
      <c r="L299" s="6">
        <v>1</v>
      </c>
      <c r="M299" s="9" t="str">
        <f t="shared" si="18"/>
        <v>⚠️ REORDER</v>
      </c>
    </row>
    <row r="300" spans="2:13" ht="16" x14ac:dyDescent="0.45">
      <c r="B300" s="9" t="s">
        <v>479</v>
      </c>
      <c r="C300" s="5" t="s">
        <v>32</v>
      </c>
      <c r="D300" s="5" t="s">
        <v>480</v>
      </c>
      <c r="E300" s="6">
        <v>0</v>
      </c>
      <c r="F300" s="5"/>
      <c r="G300" s="5">
        <v>0</v>
      </c>
      <c r="H300" s="8">
        <f t="shared" si="17"/>
        <v>0</v>
      </c>
      <c r="I300" s="5"/>
      <c r="J300" s="5"/>
      <c r="K300" s="5"/>
      <c r="L300" s="6">
        <v>1</v>
      </c>
      <c r="M300" s="6" t="str">
        <f t="shared" si="18"/>
        <v>⚠️ REORDER</v>
      </c>
    </row>
    <row r="301" spans="2:13" ht="16" x14ac:dyDescent="0.45">
      <c r="B301" s="9" t="s">
        <v>481</v>
      </c>
      <c r="C301" s="8" t="s">
        <v>32</v>
      </c>
      <c r="D301" s="8" t="s">
        <v>482</v>
      </c>
      <c r="E301" s="9">
        <v>0</v>
      </c>
      <c r="F301" s="8"/>
      <c r="G301" s="5">
        <v>0</v>
      </c>
      <c r="H301" s="8">
        <f t="shared" si="17"/>
        <v>0</v>
      </c>
      <c r="I301" s="8"/>
      <c r="J301" s="8"/>
      <c r="K301" s="8"/>
      <c r="L301" s="6">
        <v>1</v>
      </c>
      <c r="M301" s="9" t="str">
        <f t="shared" si="18"/>
        <v>⚠️ REORDER</v>
      </c>
    </row>
    <row r="302" spans="2:13" ht="16" x14ac:dyDescent="0.45">
      <c r="B302" s="9" t="s">
        <v>483</v>
      </c>
      <c r="C302" s="5" t="s">
        <v>32</v>
      </c>
      <c r="D302" s="5" t="s">
        <v>484</v>
      </c>
      <c r="E302" s="6">
        <v>24</v>
      </c>
      <c r="F302" s="5">
        <v>610</v>
      </c>
      <c r="G302" s="5">
        <v>50</v>
      </c>
      <c r="H302" s="8">
        <f t="shared" si="17"/>
        <v>1200</v>
      </c>
      <c r="I302" s="5"/>
      <c r="J302" s="5"/>
      <c r="K302" s="5"/>
      <c r="L302" s="6">
        <v>5</v>
      </c>
      <c r="M302" s="6" t="str">
        <f t="shared" si="18"/>
        <v>✅ STABLE</v>
      </c>
    </row>
    <row r="303" spans="2:13" ht="16" x14ac:dyDescent="0.45">
      <c r="B303" s="9" t="s">
        <v>485</v>
      </c>
      <c r="C303" s="8" t="s">
        <v>32</v>
      </c>
      <c r="D303" s="8" t="s">
        <v>486</v>
      </c>
      <c r="E303" s="9">
        <v>24</v>
      </c>
      <c r="F303" s="8">
        <v>610</v>
      </c>
      <c r="G303" s="8">
        <v>50</v>
      </c>
      <c r="H303" s="8">
        <f t="shared" si="17"/>
        <v>1200</v>
      </c>
      <c r="I303" s="8"/>
      <c r="J303" s="8"/>
      <c r="K303" s="8"/>
      <c r="L303" s="9">
        <v>5</v>
      </c>
      <c r="M303" s="9" t="str">
        <f t="shared" si="18"/>
        <v>✅ STABLE</v>
      </c>
    </row>
    <row r="304" spans="2:13" ht="16" x14ac:dyDescent="0.45">
      <c r="B304" s="9" t="s">
        <v>487</v>
      </c>
      <c r="C304" s="5" t="s">
        <v>32</v>
      </c>
      <c r="D304" s="5" t="s">
        <v>488</v>
      </c>
      <c r="E304" s="6">
        <v>0</v>
      </c>
      <c r="F304" s="5"/>
      <c r="G304" s="5">
        <v>0</v>
      </c>
      <c r="H304" s="8">
        <f t="shared" si="17"/>
        <v>0</v>
      </c>
      <c r="I304" s="5"/>
      <c r="J304" s="5"/>
      <c r="K304" s="5"/>
      <c r="L304" s="6">
        <v>1</v>
      </c>
      <c r="M304" s="6" t="str">
        <f t="shared" si="18"/>
        <v>⚠️ REORDER</v>
      </c>
    </row>
    <row r="305" spans="2:13" ht="16" x14ac:dyDescent="0.45">
      <c r="B305" s="9" t="s">
        <v>489</v>
      </c>
      <c r="C305" s="8" t="s">
        <v>32</v>
      </c>
      <c r="D305" s="8" t="s">
        <v>490</v>
      </c>
      <c r="E305" s="9">
        <v>0</v>
      </c>
      <c r="F305" s="8"/>
      <c r="G305" s="5">
        <v>0</v>
      </c>
      <c r="H305" s="8">
        <f t="shared" si="17"/>
        <v>0</v>
      </c>
      <c r="I305" s="8"/>
      <c r="J305" s="8"/>
      <c r="K305" s="8"/>
      <c r="L305" s="6">
        <v>1</v>
      </c>
      <c r="M305" s="9" t="str">
        <f t="shared" si="18"/>
        <v>⚠️ REORDER</v>
      </c>
    </row>
    <row r="306" spans="2:13" ht="16" x14ac:dyDescent="0.45">
      <c r="B306" s="9" t="s">
        <v>491</v>
      </c>
      <c r="C306" s="5" t="s">
        <v>32</v>
      </c>
      <c r="D306" s="5" t="s">
        <v>698</v>
      </c>
      <c r="E306" s="6">
        <v>100</v>
      </c>
      <c r="F306" s="5">
        <v>91</v>
      </c>
      <c r="G306" s="5">
        <v>5</v>
      </c>
      <c r="H306" s="8">
        <f t="shared" si="17"/>
        <v>500</v>
      </c>
      <c r="I306" s="5"/>
      <c r="J306" s="5"/>
      <c r="K306" s="5"/>
      <c r="L306" s="6">
        <v>5</v>
      </c>
      <c r="M306" s="6" t="str">
        <f t="shared" si="18"/>
        <v>✅ STABLE</v>
      </c>
    </row>
    <row r="307" spans="2:13" ht="16" x14ac:dyDescent="0.45">
      <c r="B307" s="9" t="s">
        <v>492</v>
      </c>
      <c r="C307" s="8" t="s">
        <v>32</v>
      </c>
      <c r="D307" s="8" t="s">
        <v>493</v>
      </c>
      <c r="E307" s="9">
        <v>3</v>
      </c>
      <c r="F307" s="8">
        <v>25</v>
      </c>
      <c r="G307" s="8">
        <v>80</v>
      </c>
      <c r="H307" s="8">
        <f t="shared" si="17"/>
        <v>240</v>
      </c>
      <c r="I307" s="8"/>
      <c r="J307" s="8"/>
      <c r="K307" s="8"/>
      <c r="L307" s="9">
        <v>1</v>
      </c>
      <c r="M307" s="9" t="str">
        <f t="shared" si="18"/>
        <v>✅ STABLE</v>
      </c>
    </row>
    <row r="308" spans="2:13" ht="16" x14ac:dyDescent="0.45">
      <c r="B308" s="9" t="s">
        <v>494</v>
      </c>
      <c r="C308" s="5" t="s">
        <v>32</v>
      </c>
      <c r="D308" s="5" t="s">
        <v>495</v>
      </c>
      <c r="E308" s="6">
        <v>3</v>
      </c>
      <c r="F308" s="5">
        <v>35</v>
      </c>
      <c r="G308" s="5">
        <v>100</v>
      </c>
      <c r="H308" s="8">
        <f t="shared" si="17"/>
        <v>300</v>
      </c>
      <c r="I308" s="5"/>
      <c r="J308" s="5"/>
      <c r="K308" s="5"/>
      <c r="L308" s="6">
        <v>2</v>
      </c>
      <c r="M308" s="6" t="str">
        <f t="shared" si="18"/>
        <v>✅ STABLE</v>
      </c>
    </row>
    <row r="309" spans="2:13" ht="16" x14ac:dyDescent="0.45">
      <c r="B309" s="9" t="s">
        <v>496</v>
      </c>
      <c r="C309" s="8" t="s">
        <v>32</v>
      </c>
      <c r="D309" s="8" t="s">
        <v>497</v>
      </c>
      <c r="E309" s="9">
        <v>10</v>
      </c>
      <c r="F309" s="8">
        <v>16</v>
      </c>
      <c r="G309" s="8">
        <v>50</v>
      </c>
      <c r="H309" s="8">
        <f t="shared" si="17"/>
        <v>500</v>
      </c>
      <c r="I309" s="8"/>
      <c r="J309" s="8"/>
      <c r="K309" s="8"/>
      <c r="L309" s="9">
        <v>2</v>
      </c>
      <c r="M309" s="9" t="str">
        <f t="shared" si="18"/>
        <v>✅ STABLE</v>
      </c>
    </row>
    <row r="310" spans="2:13" ht="16" x14ac:dyDescent="0.45">
      <c r="B310" s="9" t="s">
        <v>498</v>
      </c>
      <c r="C310" s="5" t="s">
        <v>32</v>
      </c>
      <c r="D310" s="5" t="s">
        <v>709</v>
      </c>
      <c r="E310" s="6">
        <v>2</v>
      </c>
      <c r="F310" s="5">
        <v>95</v>
      </c>
      <c r="G310" s="5">
        <v>150</v>
      </c>
      <c r="H310" s="8">
        <f t="shared" si="17"/>
        <v>300</v>
      </c>
      <c r="I310" s="5"/>
      <c r="J310" s="5"/>
      <c r="K310" s="5"/>
      <c r="L310" s="6">
        <v>1</v>
      </c>
      <c r="M310" s="6" t="str">
        <f t="shared" si="18"/>
        <v>✅ STABLE</v>
      </c>
    </row>
    <row r="311" spans="2:13" ht="16" x14ac:dyDescent="0.45">
      <c r="B311" s="9" t="s">
        <v>499</v>
      </c>
      <c r="C311" s="8" t="s">
        <v>23</v>
      </c>
      <c r="D311" s="8" t="s">
        <v>500</v>
      </c>
      <c r="E311" s="9">
        <v>0</v>
      </c>
      <c r="F311" s="8"/>
      <c r="G311" s="5">
        <v>0</v>
      </c>
      <c r="H311" s="8">
        <f t="shared" si="17"/>
        <v>0</v>
      </c>
      <c r="I311" s="8"/>
      <c r="J311" s="8"/>
      <c r="K311" s="8"/>
      <c r="L311" s="6">
        <v>1</v>
      </c>
      <c r="M311" s="9" t="str">
        <f t="shared" si="18"/>
        <v>⚠️ REORDER</v>
      </c>
    </row>
    <row r="312" spans="2:13" ht="16" x14ac:dyDescent="0.45">
      <c r="B312" s="9" t="s">
        <v>501</v>
      </c>
      <c r="C312" s="5" t="s">
        <v>32</v>
      </c>
      <c r="D312" s="5" t="s">
        <v>502</v>
      </c>
      <c r="E312" s="6">
        <v>0</v>
      </c>
      <c r="F312" s="5"/>
      <c r="G312" s="5">
        <v>0</v>
      </c>
      <c r="H312" s="8">
        <f t="shared" si="17"/>
        <v>0</v>
      </c>
      <c r="I312" s="5"/>
      <c r="J312" s="5"/>
      <c r="K312" s="5"/>
      <c r="L312" s="6">
        <v>1</v>
      </c>
      <c r="M312" s="6" t="str">
        <f t="shared" si="18"/>
        <v>⚠️ REORDER</v>
      </c>
    </row>
    <row r="313" spans="2:13" ht="16" x14ac:dyDescent="0.45">
      <c r="B313" s="9" t="s">
        <v>503</v>
      </c>
      <c r="C313" s="8" t="s">
        <v>32</v>
      </c>
      <c r="D313" s="8" t="s">
        <v>504</v>
      </c>
      <c r="E313" s="9">
        <v>0</v>
      </c>
      <c r="F313" s="8"/>
      <c r="G313" s="5">
        <v>0</v>
      </c>
      <c r="H313" s="8">
        <f t="shared" si="17"/>
        <v>0</v>
      </c>
      <c r="I313" s="8"/>
      <c r="J313" s="8"/>
      <c r="K313" s="8"/>
      <c r="L313" s="6">
        <v>1</v>
      </c>
      <c r="M313" s="9" t="str">
        <f t="shared" si="18"/>
        <v>⚠️ REORDER</v>
      </c>
    </row>
    <row r="314" spans="2:13" ht="16" x14ac:dyDescent="0.45">
      <c r="B314" s="9" t="s">
        <v>505</v>
      </c>
      <c r="C314" s="5" t="s">
        <v>32</v>
      </c>
      <c r="D314" s="5" t="s">
        <v>506</v>
      </c>
      <c r="E314" s="6">
        <v>0</v>
      </c>
      <c r="F314" s="5"/>
      <c r="G314" s="5">
        <v>0</v>
      </c>
      <c r="H314" s="8">
        <f t="shared" si="17"/>
        <v>0</v>
      </c>
      <c r="I314" s="5"/>
      <c r="J314" s="5"/>
      <c r="K314" s="5"/>
      <c r="L314" s="6">
        <v>1</v>
      </c>
      <c r="M314" s="9" t="str">
        <f t="shared" si="18"/>
        <v>⚠️ REORDER</v>
      </c>
    </row>
    <row r="315" spans="2:13" ht="16" x14ac:dyDescent="0.45">
      <c r="B315" s="9" t="s">
        <v>832</v>
      </c>
      <c r="C315" s="8"/>
      <c r="D315" s="8"/>
      <c r="E315" s="9"/>
      <c r="F315" s="8"/>
      <c r="G315" s="8"/>
      <c r="H315" s="8">
        <f t="shared" si="17"/>
        <v>0</v>
      </c>
      <c r="I315" s="8"/>
      <c r="J315" s="8"/>
      <c r="K315" s="8"/>
      <c r="L315" s="6">
        <v>1</v>
      </c>
      <c r="M315" s="9" t="str">
        <f t="shared" si="18"/>
        <v>⚠️ REORDER</v>
      </c>
    </row>
    <row r="316" spans="2:13" ht="16" x14ac:dyDescent="0.45">
      <c r="B316" s="9" t="s">
        <v>507</v>
      </c>
      <c r="C316" s="5" t="s">
        <v>32</v>
      </c>
      <c r="D316" s="5" t="s">
        <v>508</v>
      </c>
      <c r="E316" s="6">
        <v>0</v>
      </c>
      <c r="F316" s="5"/>
      <c r="G316" s="5">
        <v>0</v>
      </c>
      <c r="H316" s="8">
        <f t="shared" si="17"/>
        <v>0</v>
      </c>
      <c r="I316" s="5"/>
      <c r="J316" s="5"/>
      <c r="K316" s="5"/>
      <c r="L316" s="6">
        <v>1</v>
      </c>
      <c r="M316" s="9" t="str">
        <f t="shared" si="18"/>
        <v>⚠️ REORDER</v>
      </c>
    </row>
    <row r="317" spans="2:13" ht="16" x14ac:dyDescent="0.45">
      <c r="B317" s="9" t="s">
        <v>509</v>
      </c>
      <c r="C317" s="8" t="s">
        <v>32</v>
      </c>
      <c r="D317" s="8" t="s">
        <v>510</v>
      </c>
      <c r="E317" s="9">
        <v>0</v>
      </c>
      <c r="F317" s="8"/>
      <c r="G317" s="5">
        <v>0</v>
      </c>
      <c r="H317" s="8">
        <f t="shared" si="17"/>
        <v>0</v>
      </c>
      <c r="I317" s="8"/>
      <c r="J317" s="8"/>
      <c r="K317" s="8"/>
      <c r="L317" s="6">
        <v>1</v>
      </c>
      <c r="M317" s="9" t="str">
        <f t="shared" ref="M317:M349" si="19">IF(E317&lt;=L317, "⚠️ REORDER", "✅ STABLE")</f>
        <v>⚠️ REORDER</v>
      </c>
    </row>
    <row r="318" spans="2:13" ht="16" x14ac:dyDescent="0.45">
      <c r="B318" s="9" t="s">
        <v>511</v>
      </c>
      <c r="C318" s="5" t="s">
        <v>23</v>
      </c>
      <c r="D318" s="5" t="s">
        <v>512</v>
      </c>
      <c r="E318" s="6">
        <v>0</v>
      </c>
      <c r="F318" s="5"/>
      <c r="G318" s="5">
        <v>0</v>
      </c>
      <c r="H318" s="8">
        <f t="shared" si="17"/>
        <v>0</v>
      </c>
      <c r="I318" s="5"/>
      <c r="J318" s="5"/>
      <c r="K318" s="5"/>
      <c r="L318" s="6">
        <v>1</v>
      </c>
      <c r="M318" s="6" t="str">
        <f t="shared" si="19"/>
        <v>⚠️ REORDER</v>
      </c>
    </row>
    <row r="319" spans="2:13" ht="16" x14ac:dyDescent="0.45">
      <c r="B319" s="9" t="s">
        <v>513</v>
      </c>
      <c r="C319" s="8" t="s">
        <v>23</v>
      </c>
      <c r="D319" s="8" t="s">
        <v>793</v>
      </c>
      <c r="E319" s="9">
        <v>1</v>
      </c>
      <c r="F319" s="8">
        <v>145</v>
      </c>
      <c r="G319" s="8">
        <v>200</v>
      </c>
      <c r="H319" s="8">
        <f t="shared" si="17"/>
        <v>200</v>
      </c>
      <c r="I319" s="8"/>
      <c r="J319" s="8"/>
      <c r="K319" s="8"/>
      <c r="L319" s="6">
        <v>1</v>
      </c>
      <c r="M319" s="9" t="str">
        <f t="shared" si="19"/>
        <v>⚠️ REORDER</v>
      </c>
    </row>
    <row r="320" spans="2:13" ht="16" x14ac:dyDescent="0.45">
      <c r="B320" s="9" t="s">
        <v>514</v>
      </c>
      <c r="C320" s="5" t="s">
        <v>23</v>
      </c>
      <c r="D320" s="5" t="s">
        <v>515</v>
      </c>
      <c r="E320" s="6">
        <v>2</v>
      </c>
      <c r="F320" s="5">
        <v>50</v>
      </c>
      <c r="G320" s="5">
        <v>150</v>
      </c>
      <c r="H320" s="8">
        <f t="shared" si="17"/>
        <v>300</v>
      </c>
      <c r="I320" s="5"/>
      <c r="J320" s="5"/>
      <c r="K320" s="5"/>
      <c r="L320" s="9">
        <v>1</v>
      </c>
      <c r="M320" s="6" t="str">
        <f t="shared" si="19"/>
        <v>✅ STABLE</v>
      </c>
    </row>
    <row r="321" spans="2:13" ht="16" x14ac:dyDescent="0.45">
      <c r="B321" s="9" t="s">
        <v>516</v>
      </c>
      <c r="C321" s="8" t="s">
        <v>23</v>
      </c>
      <c r="D321" s="8" t="s">
        <v>898</v>
      </c>
      <c r="E321" s="9">
        <v>1</v>
      </c>
      <c r="F321" s="8">
        <v>185</v>
      </c>
      <c r="G321" s="8">
        <v>250</v>
      </c>
      <c r="H321" s="8">
        <f t="shared" si="17"/>
        <v>250</v>
      </c>
      <c r="I321" s="8"/>
      <c r="J321" s="8"/>
      <c r="K321" s="8"/>
      <c r="L321" s="6">
        <v>1</v>
      </c>
      <c r="M321" s="9" t="str">
        <f t="shared" si="19"/>
        <v>⚠️ REORDER</v>
      </c>
    </row>
    <row r="322" spans="2:13" ht="16" x14ac:dyDescent="0.45">
      <c r="B322" s="9" t="s">
        <v>517</v>
      </c>
      <c r="C322" s="5" t="s">
        <v>23</v>
      </c>
      <c r="D322" s="5" t="s">
        <v>742</v>
      </c>
      <c r="E322" s="6">
        <v>3</v>
      </c>
      <c r="F322" s="5">
        <v>55</v>
      </c>
      <c r="G322" s="5">
        <v>150</v>
      </c>
      <c r="H322" s="8">
        <f t="shared" si="17"/>
        <v>450</v>
      </c>
      <c r="I322" s="5"/>
      <c r="J322" s="5"/>
      <c r="K322" s="5"/>
      <c r="L322" s="6">
        <v>1</v>
      </c>
      <c r="M322" s="6" t="str">
        <f t="shared" si="19"/>
        <v>✅ STABLE</v>
      </c>
    </row>
    <row r="323" spans="2:13" ht="16" x14ac:dyDescent="0.45">
      <c r="B323" s="9" t="s">
        <v>518</v>
      </c>
      <c r="C323" s="8" t="s">
        <v>23</v>
      </c>
      <c r="D323" s="8" t="s">
        <v>701</v>
      </c>
      <c r="E323" s="9">
        <v>1</v>
      </c>
      <c r="F323" s="8">
        <v>136</v>
      </c>
      <c r="G323" s="8">
        <v>250</v>
      </c>
      <c r="H323" s="8">
        <f t="shared" si="17"/>
        <v>250</v>
      </c>
      <c r="I323" s="8"/>
      <c r="J323" s="8"/>
      <c r="K323" s="8"/>
      <c r="L323" s="6">
        <v>1</v>
      </c>
      <c r="M323" s="9" t="str">
        <f t="shared" si="19"/>
        <v>⚠️ REORDER</v>
      </c>
    </row>
    <row r="324" spans="2:13" ht="16" x14ac:dyDescent="0.45">
      <c r="B324" s="9" t="s">
        <v>519</v>
      </c>
      <c r="C324" s="5" t="s">
        <v>23</v>
      </c>
      <c r="D324" s="5" t="s">
        <v>520</v>
      </c>
      <c r="E324" s="6">
        <v>0</v>
      </c>
      <c r="F324" s="5"/>
      <c r="G324" s="5">
        <v>0</v>
      </c>
      <c r="H324" s="8">
        <f t="shared" si="17"/>
        <v>0</v>
      </c>
      <c r="I324" s="5"/>
      <c r="J324" s="5"/>
      <c r="K324" s="5"/>
      <c r="L324" s="6">
        <v>1</v>
      </c>
      <c r="M324" s="6" t="str">
        <f t="shared" si="19"/>
        <v>⚠️ REORDER</v>
      </c>
    </row>
    <row r="325" spans="2:13" ht="16" x14ac:dyDescent="0.45">
      <c r="B325" s="9" t="s">
        <v>521</v>
      </c>
      <c r="C325" s="8" t="s">
        <v>23</v>
      </c>
      <c r="D325" s="8" t="s">
        <v>695</v>
      </c>
      <c r="E325" s="9">
        <v>1</v>
      </c>
      <c r="F325" s="8">
        <v>330</v>
      </c>
      <c r="G325" s="8">
        <v>500</v>
      </c>
      <c r="H325" s="8">
        <f t="shared" ref="H325:H388" si="20">E325*G325</f>
        <v>500</v>
      </c>
      <c r="I325" s="8"/>
      <c r="J325" s="8"/>
      <c r="K325" s="8"/>
      <c r="L325" s="6">
        <v>1</v>
      </c>
      <c r="M325" s="9" t="str">
        <f t="shared" si="19"/>
        <v>⚠️ REORDER</v>
      </c>
    </row>
    <row r="326" spans="2:13" ht="16" x14ac:dyDescent="0.45">
      <c r="B326" s="9" t="s">
        <v>522</v>
      </c>
      <c r="C326" s="5" t="s">
        <v>23</v>
      </c>
      <c r="D326" s="5" t="s">
        <v>523</v>
      </c>
      <c r="E326" s="6">
        <v>0</v>
      </c>
      <c r="F326" s="5"/>
      <c r="G326" s="5">
        <v>0</v>
      </c>
      <c r="H326" s="8">
        <f t="shared" si="20"/>
        <v>0</v>
      </c>
      <c r="I326" s="5"/>
      <c r="J326" s="5"/>
      <c r="K326" s="5"/>
      <c r="L326" s="6">
        <v>1</v>
      </c>
      <c r="M326" s="6" t="str">
        <f t="shared" si="19"/>
        <v>⚠️ REORDER</v>
      </c>
    </row>
    <row r="327" spans="2:13" ht="16" x14ac:dyDescent="0.45">
      <c r="B327" s="9" t="s">
        <v>524</v>
      </c>
      <c r="C327" s="8" t="s">
        <v>23</v>
      </c>
      <c r="D327" s="8" t="s">
        <v>702</v>
      </c>
      <c r="E327" s="9">
        <v>5</v>
      </c>
      <c r="F327" s="8">
        <v>28</v>
      </c>
      <c r="G327" s="8">
        <v>100</v>
      </c>
      <c r="H327" s="8">
        <f t="shared" si="20"/>
        <v>500</v>
      </c>
      <c r="I327" s="8"/>
      <c r="J327" s="8"/>
      <c r="K327" s="8"/>
      <c r="L327" s="9">
        <v>2</v>
      </c>
      <c r="M327" s="9" t="str">
        <f t="shared" si="19"/>
        <v>✅ STABLE</v>
      </c>
    </row>
    <row r="328" spans="2:13" ht="16" x14ac:dyDescent="0.45">
      <c r="B328" s="9" t="s">
        <v>525</v>
      </c>
      <c r="C328" s="5" t="s">
        <v>23</v>
      </c>
      <c r="D328" s="5" t="s">
        <v>703</v>
      </c>
      <c r="E328" s="6">
        <v>3</v>
      </c>
      <c r="F328" s="5">
        <v>40</v>
      </c>
      <c r="G328" s="5">
        <v>100</v>
      </c>
      <c r="H328" s="8">
        <f t="shared" si="20"/>
        <v>300</v>
      </c>
      <c r="I328" s="5"/>
      <c r="J328" s="5"/>
      <c r="K328" s="5"/>
      <c r="L328" s="6">
        <v>2</v>
      </c>
      <c r="M328" s="6" t="str">
        <f t="shared" si="19"/>
        <v>✅ STABLE</v>
      </c>
    </row>
    <row r="329" spans="2:13" ht="16" x14ac:dyDescent="0.45">
      <c r="B329" s="9" t="s">
        <v>526</v>
      </c>
      <c r="C329" s="8" t="s">
        <v>23</v>
      </c>
      <c r="D329" s="8" t="s">
        <v>527</v>
      </c>
      <c r="E329" s="9">
        <v>0</v>
      </c>
      <c r="F329" s="8"/>
      <c r="G329" s="5">
        <v>0</v>
      </c>
      <c r="H329" s="8">
        <f t="shared" si="20"/>
        <v>0</v>
      </c>
      <c r="I329" s="8"/>
      <c r="J329" s="8"/>
      <c r="K329" s="8"/>
      <c r="L329" s="6">
        <v>1</v>
      </c>
      <c r="M329" s="9" t="str">
        <f t="shared" si="19"/>
        <v>⚠️ REORDER</v>
      </c>
    </row>
    <row r="330" spans="2:13" ht="16" x14ac:dyDescent="0.45">
      <c r="B330" s="9" t="s">
        <v>528</v>
      </c>
      <c r="C330" s="5" t="s">
        <v>23</v>
      </c>
      <c r="D330" s="5" t="s">
        <v>529</v>
      </c>
      <c r="E330" s="6">
        <v>0</v>
      </c>
      <c r="F330" s="5"/>
      <c r="G330" s="5">
        <v>0</v>
      </c>
      <c r="H330" s="8">
        <f t="shared" si="20"/>
        <v>0</v>
      </c>
      <c r="I330" s="5"/>
      <c r="J330" s="5"/>
      <c r="K330" s="5"/>
      <c r="L330" s="6">
        <v>1</v>
      </c>
      <c r="M330" s="6" t="str">
        <f t="shared" si="19"/>
        <v>⚠️ REORDER</v>
      </c>
    </row>
    <row r="331" spans="2:13" ht="16" x14ac:dyDescent="0.45">
      <c r="B331" s="9" t="s">
        <v>530</v>
      </c>
      <c r="C331" s="8" t="s">
        <v>23</v>
      </c>
      <c r="D331" s="8" t="s">
        <v>531</v>
      </c>
      <c r="E331" s="9">
        <v>2</v>
      </c>
      <c r="F331" s="8">
        <v>35</v>
      </c>
      <c r="G331" s="8">
        <v>100</v>
      </c>
      <c r="H331" s="8">
        <f t="shared" si="20"/>
        <v>200</v>
      </c>
      <c r="I331" s="8"/>
      <c r="J331" s="8"/>
      <c r="K331" s="8"/>
      <c r="L331" s="9">
        <v>1</v>
      </c>
      <c r="M331" s="9" t="str">
        <f t="shared" si="19"/>
        <v>✅ STABLE</v>
      </c>
    </row>
    <row r="332" spans="2:13" ht="16" x14ac:dyDescent="0.45">
      <c r="B332" s="9" t="s">
        <v>532</v>
      </c>
      <c r="C332" s="5" t="s">
        <v>23</v>
      </c>
      <c r="D332" s="5" t="s">
        <v>533</v>
      </c>
      <c r="E332" s="6">
        <v>0</v>
      </c>
      <c r="F332" s="5"/>
      <c r="G332" s="5">
        <v>0</v>
      </c>
      <c r="H332" s="8">
        <f t="shared" si="20"/>
        <v>0</v>
      </c>
      <c r="I332" s="5"/>
      <c r="J332" s="5"/>
      <c r="K332" s="5"/>
      <c r="L332" s="6">
        <v>1</v>
      </c>
      <c r="M332" s="6" t="str">
        <f t="shared" si="19"/>
        <v>⚠️ REORDER</v>
      </c>
    </row>
    <row r="333" spans="2:13" ht="16" x14ac:dyDescent="0.45">
      <c r="B333" s="9" t="s">
        <v>534</v>
      </c>
      <c r="C333" s="8" t="s">
        <v>23</v>
      </c>
      <c r="D333" s="8" t="s">
        <v>706</v>
      </c>
      <c r="E333" s="9">
        <v>4</v>
      </c>
      <c r="F333" s="8">
        <v>55</v>
      </c>
      <c r="G333" s="8">
        <v>150</v>
      </c>
      <c r="H333" s="8">
        <f t="shared" si="20"/>
        <v>600</v>
      </c>
      <c r="I333" s="8"/>
      <c r="J333" s="8"/>
      <c r="K333" s="8"/>
      <c r="L333" s="9">
        <v>1</v>
      </c>
      <c r="M333" s="9" t="str">
        <f t="shared" si="19"/>
        <v>✅ STABLE</v>
      </c>
    </row>
    <row r="334" spans="2:13" ht="16" x14ac:dyDescent="0.45">
      <c r="B334" s="9" t="s">
        <v>535</v>
      </c>
      <c r="C334" s="5" t="s">
        <v>23</v>
      </c>
      <c r="D334" s="5" t="s">
        <v>693</v>
      </c>
      <c r="E334" s="6">
        <v>4</v>
      </c>
      <c r="F334" s="5">
        <v>80</v>
      </c>
      <c r="G334" s="5">
        <v>150</v>
      </c>
      <c r="H334" s="8">
        <f t="shared" si="20"/>
        <v>600</v>
      </c>
      <c r="I334" s="5"/>
      <c r="J334" s="5"/>
      <c r="K334" s="5"/>
      <c r="L334" s="6">
        <v>1</v>
      </c>
      <c r="M334" s="6" t="str">
        <f t="shared" si="19"/>
        <v>✅ STABLE</v>
      </c>
    </row>
    <row r="335" spans="2:13" ht="16" x14ac:dyDescent="0.45">
      <c r="B335" s="9" t="s">
        <v>536</v>
      </c>
      <c r="C335" s="8" t="s">
        <v>23</v>
      </c>
      <c r="D335" s="8" t="s">
        <v>537</v>
      </c>
      <c r="E335" s="9">
        <v>0</v>
      </c>
      <c r="F335" s="8"/>
      <c r="G335" s="5">
        <v>0</v>
      </c>
      <c r="H335" s="8">
        <f t="shared" si="20"/>
        <v>0</v>
      </c>
      <c r="I335" s="8"/>
      <c r="J335" s="8"/>
      <c r="K335" s="8"/>
      <c r="L335" s="6">
        <v>1</v>
      </c>
      <c r="M335" s="9" t="str">
        <f t="shared" si="19"/>
        <v>⚠️ REORDER</v>
      </c>
    </row>
    <row r="336" spans="2:13" ht="16" x14ac:dyDescent="0.45">
      <c r="B336" s="9" t="s">
        <v>538</v>
      </c>
      <c r="C336" s="5" t="s">
        <v>23</v>
      </c>
      <c r="D336" s="5" t="s">
        <v>539</v>
      </c>
      <c r="E336" s="6">
        <v>0</v>
      </c>
      <c r="F336" s="5"/>
      <c r="G336" s="5">
        <v>0</v>
      </c>
      <c r="H336" s="8">
        <f t="shared" si="20"/>
        <v>0</v>
      </c>
      <c r="I336" s="5"/>
      <c r="J336" s="5"/>
      <c r="K336" s="5"/>
      <c r="L336" s="6">
        <v>1</v>
      </c>
      <c r="M336" s="6" t="str">
        <f t="shared" si="19"/>
        <v>⚠️ REORDER</v>
      </c>
    </row>
    <row r="337" spans="2:13" ht="16" x14ac:dyDescent="0.45">
      <c r="B337" s="9" t="s">
        <v>540</v>
      </c>
      <c r="C337" s="8" t="s">
        <v>23</v>
      </c>
      <c r="D337" s="8" t="s">
        <v>541</v>
      </c>
      <c r="E337" s="9">
        <v>0</v>
      </c>
      <c r="F337" s="8"/>
      <c r="G337" s="5">
        <v>0</v>
      </c>
      <c r="H337" s="8">
        <f t="shared" si="20"/>
        <v>0</v>
      </c>
      <c r="I337" s="8"/>
      <c r="J337" s="8"/>
      <c r="K337" s="8"/>
      <c r="L337" s="6">
        <v>1</v>
      </c>
      <c r="M337" s="9" t="str">
        <f t="shared" si="19"/>
        <v>⚠️ REORDER</v>
      </c>
    </row>
    <row r="338" spans="2:13" ht="16" x14ac:dyDescent="0.45">
      <c r="B338" s="9" t="s">
        <v>542</v>
      </c>
      <c r="C338" s="5" t="s">
        <v>23</v>
      </c>
      <c r="D338" s="5" t="s">
        <v>543</v>
      </c>
      <c r="E338" s="6">
        <v>0</v>
      </c>
      <c r="F338" s="5"/>
      <c r="G338" s="5">
        <v>0</v>
      </c>
      <c r="H338" s="8">
        <f t="shared" si="20"/>
        <v>0</v>
      </c>
      <c r="I338" s="5"/>
      <c r="J338" s="5"/>
      <c r="K338" s="5"/>
      <c r="L338" s="6">
        <v>1</v>
      </c>
      <c r="M338" s="6" t="str">
        <f t="shared" si="19"/>
        <v>⚠️ REORDER</v>
      </c>
    </row>
    <row r="339" spans="2:13" ht="16" x14ac:dyDescent="0.45">
      <c r="B339" s="9" t="s">
        <v>544</v>
      </c>
      <c r="C339" s="8" t="s">
        <v>23</v>
      </c>
      <c r="D339" s="8" t="s">
        <v>545</v>
      </c>
      <c r="E339" s="9">
        <v>0</v>
      </c>
      <c r="F339" s="8"/>
      <c r="G339" s="5">
        <v>0</v>
      </c>
      <c r="H339" s="8">
        <f t="shared" si="20"/>
        <v>0</v>
      </c>
      <c r="I339" s="8"/>
      <c r="J339" s="8"/>
      <c r="K339" s="8"/>
      <c r="L339" s="6">
        <v>1</v>
      </c>
      <c r="M339" s="9" t="str">
        <f t="shared" si="19"/>
        <v>⚠️ REORDER</v>
      </c>
    </row>
    <row r="340" spans="2:13" ht="16" x14ac:dyDescent="0.45">
      <c r="B340" s="9" t="s">
        <v>546</v>
      </c>
      <c r="C340" s="5" t="s">
        <v>23</v>
      </c>
      <c r="D340" s="5" t="s">
        <v>708</v>
      </c>
      <c r="E340" s="6">
        <v>2</v>
      </c>
      <c r="F340" s="5">
        <v>55</v>
      </c>
      <c r="G340" s="5">
        <v>150</v>
      </c>
      <c r="H340" s="8">
        <f t="shared" si="20"/>
        <v>300</v>
      </c>
      <c r="I340" s="5"/>
      <c r="J340" s="5"/>
      <c r="K340" s="5"/>
      <c r="L340" s="6">
        <v>1</v>
      </c>
      <c r="M340" s="6" t="str">
        <f t="shared" si="19"/>
        <v>✅ STABLE</v>
      </c>
    </row>
    <row r="341" spans="2:13" ht="16" x14ac:dyDescent="0.45">
      <c r="B341" s="9" t="s">
        <v>547</v>
      </c>
      <c r="C341" s="8" t="s">
        <v>23</v>
      </c>
      <c r="D341" s="8" t="s">
        <v>699</v>
      </c>
      <c r="E341" s="9">
        <v>2</v>
      </c>
      <c r="F341" s="8">
        <v>50</v>
      </c>
      <c r="G341" s="8">
        <v>100</v>
      </c>
      <c r="H341" s="8">
        <f t="shared" si="20"/>
        <v>200</v>
      </c>
      <c r="I341" s="8"/>
      <c r="J341" s="8"/>
      <c r="K341" s="8"/>
      <c r="L341" s="9">
        <v>1</v>
      </c>
      <c r="M341" s="9" t="str">
        <f t="shared" si="19"/>
        <v>✅ STABLE</v>
      </c>
    </row>
    <row r="342" spans="2:13" ht="16" x14ac:dyDescent="0.45">
      <c r="B342" s="9" t="s">
        <v>548</v>
      </c>
      <c r="C342" s="5" t="s">
        <v>27</v>
      </c>
      <c r="D342" s="5" t="s">
        <v>549</v>
      </c>
      <c r="E342" s="6">
        <v>0</v>
      </c>
      <c r="F342" s="5"/>
      <c r="G342" s="5">
        <v>0</v>
      </c>
      <c r="H342" s="8">
        <f t="shared" si="20"/>
        <v>0</v>
      </c>
      <c r="I342" s="5"/>
      <c r="J342" s="5"/>
      <c r="K342" s="5"/>
      <c r="L342" s="6">
        <v>1</v>
      </c>
      <c r="M342" s="6" t="str">
        <f t="shared" si="19"/>
        <v>⚠️ REORDER</v>
      </c>
    </row>
    <row r="343" spans="2:13" ht="16" x14ac:dyDescent="0.45">
      <c r="B343" s="9" t="s">
        <v>550</v>
      </c>
      <c r="C343" s="8" t="s">
        <v>27</v>
      </c>
      <c r="D343" s="8" t="s">
        <v>551</v>
      </c>
      <c r="E343" s="9">
        <v>0</v>
      </c>
      <c r="F343" s="8"/>
      <c r="G343" s="5">
        <v>0</v>
      </c>
      <c r="H343" s="8">
        <f t="shared" si="20"/>
        <v>0</v>
      </c>
      <c r="I343" s="8"/>
      <c r="J343" s="8"/>
      <c r="K343" s="8"/>
      <c r="L343" s="6">
        <v>1</v>
      </c>
      <c r="M343" s="9" t="str">
        <f t="shared" si="19"/>
        <v>⚠️ REORDER</v>
      </c>
    </row>
    <row r="344" spans="2:13" ht="16" x14ac:dyDescent="0.45">
      <c r="B344" s="9" t="s">
        <v>552</v>
      </c>
      <c r="C344" s="5" t="s">
        <v>27</v>
      </c>
      <c r="D344" s="5" t="s">
        <v>553</v>
      </c>
      <c r="E344" s="6">
        <v>0</v>
      </c>
      <c r="F344" s="5"/>
      <c r="G344" s="5">
        <v>0</v>
      </c>
      <c r="H344" s="8">
        <f t="shared" si="20"/>
        <v>0</v>
      </c>
      <c r="I344" s="5"/>
      <c r="J344" s="5"/>
      <c r="K344" s="5"/>
      <c r="L344" s="6">
        <v>1</v>
      </c>
      <c r="M344" s="6" t="str">
        <f t="shared" si="19"/>
        <v>⚠️ REORDER</v>
      </c>
    </row>
    <row r="345" spans="2:13" ht="16" x14ac:dyDescent="0.45">
      <c r="B345" s="9" t="s">
        <v>554</v>
      </c>
      <c r="C345" s="8" t="s">
        <v>27</v>
      </c>
      <c r="D345" s="8" t="s">
        <v>555</v>
      </c>
      <c r="E345" s="9">
        <v>0</v>
      </c>
      <c r="F345" s="8"/>
      <c r="G345" s="5">
        <v>0</v>
      </c>
      <c r="H345" s="8">
        <f t="shared" si="20"/>
        <v>0</v>
      </c>
      <c r="I345" s="8"/>
      <c r="J345" s="8"/>
      <c r="K345" s="8"/>
      <c r="L345" s="6">
        <v>1</v>
      </c>
      <c r="M345" s="9" t="str">
        <f t="shared" si="19"/>
        <v>⚠️ REORDER</v>
      </c>
    </row>
    <row r="346" spans="2:13" ht="16" x14ac:dyDescent="0.45">
      <c r="B346" s="9" t="s">
        <v>556</v>
      </c>
      <c r="C346" s="5" t="s">
        <v>27</v>
      </c>
      <c r="D346" s="5" t="s">
        <v>557</v>
      </c>
      <c r="E346" s="6">
        <v>0</v>
      </c>
      <c r="F346" s="5"/>
      <c r="G346" s="5">
        <v>0</v>
      </c>
      <c r="H346" s="8">
        <f t="shared" si="20"/>
        <v>0</v>
      </c>
      <c r="I346" s="5"/>
      <c r="J346" s="5"/>
      <c r="K346" s="5"/>
      <c r="L346" s="6">
        <v>1</v>
      </c>
      <c r="M346" s="6" t="str">
        <f t="shared" si="19"/>
        <v>⚠️ REORDER</v>
      </c>
    </row>
    <row r="347" spans="2:13" ht="16" x14ac:dyDescent="0.45">
      <c r="B347" s="9" t="s">
        <v>558</v>
      </c>
      <c r="C347" s="8" t="s">
        <v>27</v>
      </c>
      <c r="D347" s="25" t="s">
        <v>1005</v>
      </c>
      <c r="E347" s="9">
        <v>10</v>
      </c>
      <c r="F347" s="8">
        <v>20</v>
      </c>
      <c r="G347" s="5">
        <v>30</v>
      </c>
      <c r="H347" s="8">
        <f t="shared" si="20"/>
        <v>300</v>
      </c>
      <c r="I347" s="8"/>
      <c r="J347" s="8"/>
      <c r="K347" s="8"/>
      <c r="L347" s="9">
        <v>1</v>
      </c>
      <c r="M347" s="9" t="str">
        <f t="shared" si="19"/>
        <v>✅ STABLE</v>
      </c>
    </row>
    <row r="348" spans="2:13" ht="16" x14ac:dyDescent="0.45">
      <c r="B348" s="9" t="s">
        <v>559</v>
      </c>
      <c r="C348" s="5" t="s">
        <v>22</v>
      </c>
      <c r="D348" s="5" t="s">
        <v>907</v>
      </c>
      <c r="E348" s="6">
        <v>100</v>
      </c>
      <c r="F348" s="5">
        <v>120</v>
      </c>
      <c r="G348" s="5">
        <v>5</v>
      </c>
      <c r="H348" s="8">
        <f t="shared" si="20"/>
        <v>500</v>
      </c>
      <c r="I348" s="5"/>
      <c r="J348" s="5"/>
      <c r="K348" s="5"/>
      <c r="L348" s="9">
        <v>1</v>
      </c>
      <c r="M348" s="6" t="str">
        <f t="shared" si="19"/>
        <v>✅ STABLE</v>
      </c>
    </row>
    <row r="349" spans="2:13" ht="16" x14ac:dyDescent="0.45">
      <c r="B349" s="9" t="s">
        <v>560</v>
      </c>
      <c r="C349" s="8" t="s">
        <v>27</v>
      </c>
      <c r="D349" s="8" t="s">
        <v>806</v>
      </c>
      <c r="E349" s="9">
        <v>2</v>
      </c>
      <c r="F349" s="8">
        <v>160</v>
      </c>
      <c r="G349" s="8">
        <v>200</v>
      </c>
      <c r="H349" s="8">
        <f t="shared" si="20"/>
        <v>400</v>
      </c>
      <c r="I349" s="8"/>
      <c r="J349" s="8"/>
      <c r="K349" s="8"/>
      <c r="L349" s="6">
        <v>1</v>
      </c>
      <c r="M349" s="6" t="str">
        <f t="shared" si="19"/>
        <v>✅ STABLE</v>
      </c>
    </row>
    <row r="350" spans="2:13" ht="16" x14ac:dyDescent="0.45">
      <c r="B350" s="9" t="s">
        <v>561</v>
      </c>
      <c r="C350" s="5" t="s">
        <v>27</v>
      </c>
      <c r="D350" s="5" t="s">
        <v>807</v>
      </c>
      <c r="E350" s="6">
        <v>4</v>
      </c>
      <c r="F350" s="5">
        <v>22</v>
      </c>
      <c r="G350" s="5">
        <v>100</v>
      </c>
      <c r="H350" s="8">
        <f t="shared" si="20"/>
        <v>400</v>
      </c>
      <c r="I350" s="5"/>
      <c r="J350" s="5"/>
      <c r="K350" s="5"/>
      <c r="L350" s="6">
        <v>5</v>
      </c>
      <c r="M350" s="6" t="str">
        <f t="shared" ref="M350:M413" si="21">IF(E350&lt;=L350, "⚠️ REORDER", "✅ STABLE")</f>
        <v>⚠️ REORDER</v>
      </c>
    </row>
    <row r="351" spans="2:13" ht="16" x14ac:dyDescent="0.45">
      <c r="B351" s="9" t="s">
        <v>562</v>
      </c>
      <c r="C351" s="8" t="s">
        <v>27</v>
      </c>
      <c r="D351" s="8" t="s">
        <v>700</v>
      </c>
      <c r="E351" s="9">
        <v>1</v>
      </c>
      <c r="F351" s="8">
        <v>100</v>
      </c>
      <c r="G351" s="8">
        <v>150</v>
      </c>
      <c r="H351" s="8">
        <f t="shared" si="20"/>
        <v>150</v>
      </c>
      <c r="I351" s="8"/>
      <c r="J351" s="8"/>
      <c r="K351" s="8"/>
      <c r="L351" s="9">
        <v>2</v>
      </c>
      <c r="M351" s="9" t="str">
        <f t="shared" si="21"/>
        <v>⚠️ REORDER</v>
      </c>
    </row>
    <row r="352" spans="2:13" ht="16" x14ac:dyDescent="0.45">
      <c r="B352" s="9" t="s">
        <v>563</v>
      </c>
      <c r="C352" s="5" t="s">
        <v>27</v>
      </c>
      <c r="D352" s="5" t="s">
        <v>705</v>
      </c>
      <c r="E352" s="6">
        <v>2</v>
      </c>
      <c r="F352" s="5">
        <v>75</v>
      </c>
      <c r="G352" s="5">
        <v>100</v>
      </c>
      <c r="H352" s="8">
        <f t="shared" si="20"/>
        <v>200</v>
      </c>
      <c r="I352" s="5"/>
      <c r="J352" s="5"/>
      <c r="K352" s="5"/>
      <c r="L352" s="6">
        <v>2</v>
      </c>
      <c r="M352" s="6" t="str">
        <f t="shared" si="21"/>
        <v>⚠️ REORDER</v>
      </c>
    </row>
    <row r="353" spans="2:13" ht="16" x14ac:dyDescent="0.45">
      <c r="B353" s="9" t="s">
        <v>564</v>
      </c>
      <c r="C353" s="8" t="s">
        <v>27</v>
      </c>
      <c r="D353" s="8" t="s">
        <v>565</v>
      </c>
      <c r="E353" s="9">
        <v>0</v>
      </c>
      <c r="F353" s="8"/>
      <c r="G353" s="5">
        <v>0</v>
      </c>
      <c r="H353" s="8">
        <f t="shared" si="20"/>
        <v>0</v>
      </c>
      <c r="I353" s="8"/>
      <c r="J353" s="8"/>
      <c r="K353" s="8"/>
      <c r="L353" s="6">
        <v>1</v>
      </c>
      <c r="M353" s="6" t="str">
        <f t="shared" si="21"/>
        <v>⚠️ REORDER</v>
      </c>
    </row>
    <row r="354" spans="2:13" ht="16" x14ac:dyDescent="0.45">
      <c r="B354" s="9" t="s">
        <v>566</v>
      </c>
      <c r="C354" s="5" t="s">
        <v>27</v>
      </c>
      <c r="D354" s="5" t="s">
        <v>567</v>
      </c>
      <c r="E354" s="6">
        <v>0</v>
      </c>
      <c r="F354" s="5"/>
      <c r="G354" s="5">
        <v>0</v>
      </c>
      <c r="H354" s="8">
        <f t="shared" si="20"/>
        <v>0</v>
      </c>
      <c r="I354" s="5"/>
      <c r="J354" s="5"/>
      <c r="K354" s="5"/>
      <c r="L354" s="6">
        <v>1</v>
      </c>
      <c r="M354" s="6" t="str">
        <f t="shared" si="21"/>
        <v>⚠️ REORDER</v>
      </c>
    </row>
    <row r="355" spans="2:13" ht="16" x14ac:dyDescent="0.45">
      <c r="B355" s="9" t="s">
        <v>568</v>
      </c>
      <c r="C355" s="8" t="s">
        <v>27</v>
      </c>
      <c r="D355" s="8" t="s">
        <v>569</v>
      </c>
      <c r="E355" s="9">
        <v>0</v>
      </c>
      <c r="F355" s="8"/>
      <c r="G355" s="5">
        <v>0</v>
      </c>
      <c r="H355" s="8">
        <f t="shared" si="20"/>
        <v>0</v>
      </c>
      <c r="I355" s="8"/>
      <c r="J355" s="8"/>
      <c r="K355" s="8"/>
      <c r="L355" s="6">
        <v>1</v>
      </c>
      <c r="M355" s="9" t="str">
        <f t="shared" si="21"/>
        <v>⚠️ REORDER</v>
      </c>
    </row>
    <row r="356" spans="2:13" ht="16" x14ac:dyDescent="0.45">
      <c r="B356" s="9" t="s">
        <v>570</v>
      </c>
      <c r="C356" s="5" t="s">
        <v>27</v>
      </c>
      <c r="D356" s="5" t="s">
        <v>571</v>
      </c>
      <c r="E356" s="6">
        <v>0</v>
      </c>
      <c r="F356" s="5"/>
      <c r="G356" s="5">
        <v>0</v>
      </c>
      <c r="H356" s="8">
        <f t="shared" si="20"/>
        <v>0</v>
      </c>
      <c r="I356" s="5"/>
      <c r="J356" s="5"/>
      <c r="K356" s="5"/>
      <c r="L356" s="6">
        <v>1</v>
      </c>
      <c r="M356" s="6" t="str">
        <f t="shared" si="21"/>
        <v>⚠️ REORDER</v>
      </c>
    </row>
    <row r="357" spans="2:13" ht="16" x14ac:dyDescent="0.45">
      <c r="B357" s="9" t="s">
        <v>572</v>
      </c>
      <c r="C357" s="8" t="s">
        <v>27</v>
      </c>
      <c r="D357" s="8" t="s">
        <v>573</v>
      </c>
      <c r="E357" s="9">
        <v>0</v>
      </c>
      <c r="F357" s="8"/>
      <c r="G357" s="5">
        <v>0</v>
      </c>
      <c r="H357" s="8">
        <f t="shared" si="20"/>
        <v>0</v>
      </c>
      <c r="I357" s="8"/>
      <c r="J357" s="8"/>
      <c r="K357" s="8"/>
      <c r="L357" s="6">
        <v>1</v>
      </c>
      <c r="M357" s="9" t="str">
        <f t="shared" si="21"/>
        <v>⚠️ REORDER</v>
      </c>
    </row>
    <row r="358" spans="2:13" ht="16" x14ac:dyDescent="0.45">
      <c r="B358" s="9" t="s">
        <v>574</v>
      </c>
      <c r="C358" s="5" t="s">
        <v>30</v>
      </c>
      <c r="D358" s="22" t="s">
        <v>1020</v>
      </c>
      <c r="E358" s="6">
        <v>15</v>
      </c>
      <c r="F358" s="5">
        <v>10</v>
      </c>
      <c r="G358" s="5">
        <v>50</v>
      </c>
      <c r="H358" s="8">
        <f t="shared" si="20"/>
        <v>750</v>
      </c>
      <c r="I358" s="5"/>
      <c r="J358" s="5"/>
      <c r="K358" s="5"/>
      <c r="L358" s="6">
        <v>5</v>
      </c>
      <c r="M358" s="6" t="str">
        <f t="shared" si="21"/>
        <v>✅ STABLE</v>
      </c>
    </row>
    <row r="359" spans="2:13" ht="16" x14ac:dyDescent="0.45">
      <c r="B359" s="9" t="s">
        <v>575</v>
      </c>
      <c r="C359" s="8" t="s">
        <v>30</v>
      </c>
      <c r="D359" s="8" t="s">
        <v>576</v>
      </c>
      <c r="E359" s="9">
        <v>14</v>
      </c>
      <c r="F359" s="8">
        <v>55</v>
      </c>
      <c r="G359" s="8">
        <v>150</v>
      </c>
      <c r="H359" s="8">
        <f t="shared" si="20"/>
        <v>2100</v>
      </c>
      <c r="I359" s="8"/>
      <c r="J359" s="8"/>
      <c r="K359" s="8"/>
      <c r="L359" s="9">
        <v>2</v>
      </c>
      <c r="M359" s="9" t="str">
        <f t="shared" si="21"/>
        <v>✅ STABLE</v>
      </c>
    </row>
    <row r="360" spans="2:13" ht="16" x14ac:dyDescent="0.45">
      <c r="B360" s="9" t="s">
        <v>577</v>
      </c>
      <c r="C360" s="5" t="s">
        <v>30</v>
      </c>
      <c r="D360" s="5" t="s">
        <v>578</v>
      </c>
      <c r="E360" s="6">
        <v>0</v>
      </c>
      <c r="F360" s="5"/>
      <c r="G360" s="5">
        <v>0</v>
      </c>
      <c r="H360" s="8">
        <f t="shared" si="20"/>
        <v>0</v>
      </c>
      <c r="I360" s="5"/>
      <c r="J360" s="5"/>
      <c r="K360" s="5"/>
      <c r="L360" s="6">
        <v>1</v>
      </c>
      <c r="M360" s="6" t="str">
        <f t="shared" si="21"/>
        <v>⚠️ REORDER</v>
      </c>
    </row>
    <row r="361" spans="2:13" ht="16" x14ac:dyDescent="0.45">
      <c r="B361" s="9" t="s">
        <v>579</v>
      </c>
      <c r="C361" s="8" t="s">
        <v>30</v>
      </c>
      <c r="D361" s="8" t="s">
        <v>580</v>
      </c>
      <c r="E361" s="6">
        <v>0</v>
      </c>
      <c r="F361" s="8"/>
      <c r="G361" s="5">
        <v>0</v>
      </c>
      <c r="H361" s="8">
        <f t="shared" si="20"/>
        <v>0</v>
      </c>
      <c r="I361" s="8"/>
      <c r="J361" s="8"/>
      <c r="K361" s="8"/>
      <c r="L361" s="6">
        <v>1</v>
      </c>
      <c r="M361" s="9" t="str">
        <f t="shared" si="21"/>
        <v>⚠️ REORDER</v>
      </c>
    </row>
    <row r="362" spans="2:13" ht="16" x14ac:dyDescent="0.45">
      <c r="B362" s="9" t="s">
        <v>581</v>
      </c>
      <c r="C362" s="5" t="s">
        <v>30</v>
      </c>
      <c r="D362" s="5" t="s">
        <v>582</v>
      </c>
      <c r="E362" s="6">
        <v>0</v>
      </c>
      <c r="F362" s="5"/>
      <c r="G362" s="5">
        <v>0</v>
      </c>
      <c r="H362" s="8">
        <f t="shared" si="20"/>
        <v>0</v>
      </c>
      <c r="I362" s="5"/>
      <c r="J362" s="5"/>
      <c r="K362" s="5"/>
      <c r="L362" s="6">
        <v>1</v>
      </c>
      <c r="M362" s="6" t="str">
        <f t="shared" si="21"/>
        <v>⚠️ REORDER</v>
      </c>
    </row>
    <row r="363" spans="2:13" ht="16" x14ac:dyDescent="0.45">
      <c r="B363" s="9" t="s">
        <v>583</v>
      </c>
      <c r="C363" s="8" t="s">
        <v>30</v>
      </c>
      <c r="D363" s="8" t="s">
        <v>584</v>
      </c>
      <c r="E363" s="6">
        <v>0</v>
      </c>
      <c r="F363" s="8"/>
      <c r="G363" s="5">
        <v>0</v>
      </c>
      <c r="H363" s="8">
        <f t="shared" si="20"/>
        <v>0</v>
      </c>
      <c r="I363" s="8"/>
      <c r="J363" s="8"/>
      <c r="K363" s="8"/>
      <c r="L363" s="6">
        <v>1</v>
      </c>
      <c r="M363" s="9" t="str">
        <f t="shared" si="21"/>
        <v>⚠️ REORDER</v>
      </c>
    </row>
    <row r="364" spans="2:13" ht="16" x14ac:dyDescent="0.45">
      <c r="B364" s="9" t="s">
        <v>585</v>
      </c>
      <c r="C364" s="5" t="s">
        <v>30</v>
      </c>
      <c r="D364" s="5" t="s">
        <v>586</v>
      </c>
      <c r="E364" s="6">
        <v>0</v>
      </c>
      <c r="F364" s="5"/>
      <c r="G364" s="5">
        <v>0</v>
      </c>
      <c r="H364" s="8">
        <f t="shared" si="20"/>
        <v>0</v>
      </c>
      <c r="I364" s="5"/>
      <c r="J364" s="5"/>
      <c r="K364" s="5"/>
      <c r="L364" s="6">
        <v>1</v>
      </c>
      <c r="M364" s="6" t="str">
        <f t="shared" si="21"/>
        <v>⚠️ REORDER</v>
      </c>
    </row>
    <row r="365" spans="2:13" ht="16" x14ac:dyDescent="0.45">
      <c r="B365" s="9" t="s">
        <v>587</v>
      </c>
      <c r="C365" s="8" t="s">
        <v>30</v>
      </c>
      <c r="D365" s="8" t="s">
        <v>588</v>
      </c>
      <c r="E365" s="6">
        <v>0</v>
      </c>
      <c r="F365" s="8"/>
      <c r="G365" s="5">
        <v>0</v>
      </c>
      <c r="H365" s="8">
        <f t="shared" si="20"/>
        <v>0</v>
      </c>
      <c r="I365" s="8"/>
      <c r="J365" s="8"/>
      <c r="K365" s="8"/>
      <c r="L365" s="6">
        <v>1</v>
      </c>
      <c r="M365" s="9" t="str">
        <f t="shared" si="21"/>
        <v>⚠️ REORDER</v>
      </c>
    </row>
    <row r="366" spans="2:13" ht="16" x14ac:dyDescent="0.45">
      <c r="B366" s="9" t="s">
        <v>589</v>
      </c>
      <c r="C366" s="5" t="s">
        <v>30</v>
      </c>
      <c r="D366" s="5" t="s">
        <v>590</v>
      </c>
      <c r="E366" s="6">
        <v>0</v>
      </c>
      <c r="F366" s="5"/>
      <c r="G366" s="5">
        <v>0</v>
      </c>
      <c r="H366" s="8">
        <f t="shared" si="20"/>
        <v>0</v>
      </c>
      <c r="I366" s="5"/>
      <c r="J366" s="5"/>
      <c r="K366" s="5"/>
      <c r="L366" s="6">
        <v>1</v>
      </c>
      <c r="M366" s="6" t="str">
        <f t="shared" si="21"/>
        <v>⚠️ REORDER</v>
      </c>
    </row>
    <row r="367" spans="2:13" ht="16" x14ac:dyDescent="0.45">
      <c r="B367" s="9" t="s">
        <v>591</v>
      </c>
      <c r="C367" s="8" t="s">
        <v>30</v>
      </c>
      <c r="D367" s="8" t="s">
        <v>592</v>
      </c>
      <c r="E367" s="6">
        <v>0</v>
      </c>
      <c r="F367" s="8"/>
      <c r="G367" s="5">
        <v>0</v>
      </c>
      <c r="H367" s="8">
        <f t="shared" si="20"/>
        <v>0</v>
      </c>
      <c r="I367" s="8"/>
      <c r="J367" s="8"/>
      <c r="K367" s="8"/>
      <c r="L367" s="6">
        <v>1</v>
      </c>
      <c r="M367" s="9" t="str">
        <f t="shared" si="21"/>
        <v>⚠️ REORDER</v>
      </c>
    </row>
    <row r="368" spans="2:13" ht="16" x14ac:dyDescent="0.45">
      <c r="B368" s="9" t="s">
        <v>593</v>
      </c>
      <c r="C368" s="5" t="s">
        <v>30</v>
      </c>
      <c r="D368" s="5" t="s">
        <v>811</v>
      </c>
      <c r="E368" s="6">
        <v>5</v>
      </c>
      <c r="F368" s="5">
        <v>25</v>
      </c>
      <c r="G368" s="5">
        <v>40</v>
      </c>
      <c r="H368" s="8">
        <f t="shared" si="20"/>
        <v>200</v>
      </c>
      <c r="I368" s="5"/>
      <c r="J368" s="5"/>
      <c r="K368" s="5"/>
      <c r="L368" s="6">
        <v>1</v>
      </c>
      <c r="M368" s="6" t="str">
        <f t="shared" si="21"/>
        <v>✅ STABLE</v>
      </c>
    </row>
    <row r="369" spans="2:13" ht="16" x14ac:dyDescent="0.45">
      <c r="B369" s="9" t="s">
        <v>594</v>
      </c>
      <c r="C369" s="8" t="s">
        <v>30</v>
      </c>
      <c r="D369" s="8" t="s">
        <v>595</v>
      </c>
      <c r="E369" s="9">
        <v>50</v>
      </c>
      <c r="F369" s="8">
        <v>370</v>
      </c>
      <c r="G369" s="8">
        <v>10</v>
      </c>
      <c r="H369" s="8">
        <f t="shared" si="20"/>
        <v>500</v>
      </c>
      <c r="I369" s="8"/>
      <c r="J369" s="8"/>
      <c r="K369" s="8"/>
      <c r="L369" s="9">
        <v>10</v>
      </c>
      <c r="M369" s="9" t="str">
        <f t="shared" si="21"/>
        <v>✅ STABLE</v>
      </c>
    </row>
    <row r="370" spans="2:13" ht="16" x14ac:dyDescent="0.45">
      <c r="B370" s="9" t="s">
        <v>596</v>
      </c>
      <c r="C370" s="5" t="s">
        <v>30</v>
      </c>
      <c r="D370" s="5" t="s">
        <v>597</v>
      </c>
      <c r="E370" s="6">
        <v>0</v>
      </c>
      <c r="F370" s="5"/>
      <c r="G370" s="5">
        <v>0</v>
      </c>
      <c r="H370" s="8">
        <f t="shared" si="20"/>
        <v>0</v>
      </c>
      <c r="I370" s="5"/>
      <c r="J370" s="5"/>
      <c r="K370" s="5"/>
      <c r="L370" s="6">
        <v>1</v>
      </c>
      <c r="M370" s="6" t="str">
        <f t="shared" si="21"/>
        <v>⚠️ REORDER</v>
      </c>
    </row>
    <row r="371" spans="2:13" ht="16" x14ac:dyDescent="0.45">
      <c r="B371" s="9" t="s">
        <v>598</v>
      </c>
      <c r="C371" s="8" t="s">
        <v>26</v>
      </c>
      <c r="D371" s="8" t="s">
        <v>599</v>
      </c>
      <c r="E371" s="9">
        <v>1</v>
      </c>
      <c r="F371" s="8">
        <v>1000</v>
      </c>
      <c r="G371" s="8">
        <v>0</v>
      </c>
      <c r="H371" s="8">
        <f t="shared" si="20"/>
        <v>0</v>
      </c>
      <c r="I371" s="8"/>
      <c r="J371" s="8"/>
      <c r="K371" s="8"/>
      <c r="L371" s="6">
        <v>1</v>
      </c>
      <c r="M371" s="9" t="str">
        <f t="shared" si="21"/>
        <v>⚠️ REORDER</v>
      </c>
    </row>
    <row r="372" spans="2:13" ht="16" x14ac:dyDescent="0.45">
      <c r="B372" s="9" t="s">
        <v>600</v>
      </c>
      <c r="C372" s="5" t="s">
        <v>26</v>
      </c>
      <c r="D372" s="5" t="s">
        <v>601</v>
      </c>
      <c r="E372" s="6">
        <v>1</v>
      </c>
      <c r="F372" s="5">
        <v>100</v>
      </c>
      <c r="G372" s="5">
        <v>0</v>
      </c>
      <c r="H372" s="8">
        <f t="shared" si="20"/>
        <v>0</v>
      </c>
      <c r="I372" s="5"/>
      <c r="J372" s="5"/>
      <c r="K372" s="5"/>
      <c r="L372" s="6">
        <v>1</v>
      </c>
      <c r="M372" s="9" t="str">
        <f t="shared" si="21"/>
        <v>⚠️ REORDER</v>
      </c>
    </row>
    <row r="373" spans="2:13" ht="16" x14ac:dyDescent="0.45">
      <c r="B373" s="9" t="s">
        <v>602</v>
      </c>
      <c r="C373" s="8" t="s">
        <v>26</v>
      </c>
      <c r="D373" s="8" t="s">
        <v>603</v>
      </c>
      <c r="E373" s="9">
        <v>1</v>
      </c>
      <c r="F373" s="8">
        <v>400</v>
      </c>
      <c r="G373" s="8">
        <v>0</v>
      </c>
      <c r="H373" s="8">
        <f t="shared" si="20"/>
        <v>0</v>
      </c>
      <c r="I373" s="8"/>
      <c r="J373" s="8"/>
      <c r="K373" s="8"/>
      <c r="L373" s="6">
        <v>1</v>
      </c>
      <c r="M373" s="9" t="str">
        <f t="shared" si="21"/>
        <v>⚠️ REORDER</v>
      </c>
    </row>
    <row r="374" spans="2:13" ht="16" x14ac:dyDescent="0.45">
      <c r="B374" s="9" t="s">
        <v>604</v>
      </c>
      <c r="C374" s="5" t="s">
        <v>26</v>
      </c>
      <c r="D374" s="5" t="s">
        <v>605</v>
      </c>
      <c r="E374" s="6">
        <v>1</v>
      </c>
      <c r="F374" s="5">
        <v>10</v>
      </c>
      <c r="G374" s="5">
        <v>0</v>
      </c>
      <c r="H374" s="8">
        <f t="shared" si="20"/>
        <v>0</v>
      </c>
      <c r="I374" s="5"/>
      <c r="J374" s="5"/>
      <c r="K374" s="5"/>
      <c r="L374" s="6">
        <v>1</v>
      </c>
      <c r="M374" s="9" t="str">
        <f t="shared" si="21"/>
        <v>⚠️ REORDER</v>
      </c>
    </row>
    <row r="375" spans="2:13" ht="16" x14ac:dyDescent="0.45">
      <c r="B375" s="9" t="s">
        <v>606</v>
      </c>
      <c r="C375" s="8" t="s">
        <v>26</v>
      </c>
      <c r="D375" s="8" t="s">
        <v>607</v>
      </c>
      <c r="E375" s="9">
        <v>1</v>
      </c>
      <c r="F375" s="8">
        <v>600</v>
      </c>
      <c r="G375" s="8">
        <v>0</v>
      </c>
      <c r="H375" s="8">
        <f t="shared" si="20"/>
        <v>0</v>
      </c>
      <c r="I375" s="8"/>
      <c r="J375" s="8"/>
      <c r="K375" s="8"/>
      <c r="L375" s="6">
        <v>1</v>
      </c>
      <c r="M375" s="9" t="str">
        <f t="shared" si="21"/>
        <v>⚠️ REORDER</v>
      </c>
    </row>
    <row r="376" spans="2:13" ht="16" x14ac:dyDescent="0.45">
      <c r="B376" s="9" t="s">
        <v>833</v>
      </c>
      <c r="H376" s="8">
        <f t="shared" si="20"/>
        <v>0</v>
      </c>
      <c r="L376" s="6">
        <v>1</v>
      </c>
      <c r="M376" s="9" t="str">
        <f t="shared" si="21"/>
        <v>⚠️ REORDER</v>
      </c>
    </row>
    <row r="377" spans="2:13" ht="16" x14ac:dyDescent="0.45">
      <c r="B377" s="9" t="s">
        <v>834</v>
      </c>
      <c r="C377" s="5" t="s">
        <v>19</v>
      </c>
      <c r="D377" t="s">
        <v>654</v>
      </c>
      <c r="E377">
        <v>2</v>
      </c>
      <c r="F377">
        <v>150</v>
      </c>
      <c r="G377">
        <v>300</v>
      </c>
      <c r="H377" s="8">
        <f t="shared" si="20"/>
        <v>600</v>
      </c>
      <c r="L377" s="6">
        <v>1</v>
      </c>
      <c r="M377" s="9" t="str">
        <f t="shared" si="21"/>
        <v>✅ STABLE</v>
      </c>
    </row>
    <row r="378" spans="2:13" ht="16" x14ac:dyDescent="0.45">
      <c r="B378" s="9" t="s">
        <v>835</v>
      </c>
      <c r="C378" s="8" t="s">
        <v>19</v>
      </c>
      <c r="D378" s="8" t="s">
        <v>655</v>
      </c>
      <c r="E378">
        <v>3</v>
      </c>
      <c r="F378">
        <v>60</v>
      </c>
      <c r="G378">
        <v>150</v>
      </c>
      <c r="H378" s="8">
        <f t="shared" si="20"/>
        <v>450</v>
      </c>
      <c r="L378" s="6">
        <v>1</v>
      </c>
      <c r="M378" s="9" t="str">
        <f t="shared" si="21"/>
        <v>✅ STABLE</v>
      </c>
    </row>
    <row r="379" spans="2:13" ht="16" x14ac:dyDescent="0.45">
      <c r="B379" s="9" t="s">
        <v>836</v>
      </c>
      <c r="C379" s="8" t="s">
        <v>19</v>
      </c>
      <c r="D379" s="8" t="s">
        <v>658</v>
      </c>
      <c r="E379">
        <v>1</v>
      </c>
      <c r="F379">
        <v>225</v>
      </c>
      <c r="G379">
        <v>400</v>
      </c>
      <c r="H379" s="8">
        <f t="shared" si="20"/>
        <v>400</v>
      </c>
      <c r="L379" s="6">
        <v>1</v>
      </c>
      <c r="M379" s="9" t="str">
        <f t="shared" si="21"/>
        <v>⚠️ REORDER</v>
      </c>
    </row>
    <row r="380" spans="2:13" ht="16" x14ac:dyDescent="0.45">
      <c r="B380" s="9" t="s">
        <v>837</v>
      </c>
      <c r="C380" s="8" t="s">
        <v>19</v>
      </c>
      <c r="D380" s="8" t="s">
        <v>660</v>
      </c>
      <c r="E380">
        <v>5</v>
      </c>
      <c r="F380">
        <v>50</v>
      </c>
      <c r="G380">
        <v>100</v>
      </c>
      <c r="H380" s="8">
        <f t="shared" si="20"/>
        <v>500</v>
      </c>
      <c r="L380" s="6">
        <v>1</v>
      </c>
      <c r="M380" s="9" t="str">
        <f t="shared" si="21"/>
        <v>✅ STABLE</v>
      </c>
    </row>
    <row r="381" spans="2:13" ht="16" x14ac:dyDescent="0.45">
      <c r="B381" s="9" t="s">
        <v>838</v>
      </c>
      <c r="C381" s="8" t="s">
        <v>12</v>
      </c>
      <c r="D381" s="8" t="s">
        <v>662</v>
      </c>
      <c r="E381">
        <v>1</v>
      </c>
      <c r="F381" s="8">
        <v>325</v>
      </c>
      <c r="G381" s="8">
        <v>500</v>
      </c>
      <c r="H381" s="8">
        <f t="shared" si="20"/>
        <v>500</v>
      </c>
      <c r="L381" s="6">
        <v>1</v>
      </c>
      <c r="M381" s="9" t="str">
        <f t="shared" si="21"/>
        <v>⚠️ REORDER</v>
      </c>
    </row>
    <row r="382" spans="2:13" ht="16" x14ac:dyDescent="0.45">
      <c r="B382" s="9" t="s">
        <v>839</v>
      </c>
      <c r="C382" s="8" t="s">
        <v>12</v>
      </c>
      <c r="D382" s="8" t="s">
        <v>663</v>
      </c>
      <c r="E382">
        <v>1</v>
      </c>
      <c r="F382" s="8">
        <v>325</v>
      </c>
      <c r="G382" s="8">
        <v>500</v>
      </c>
      <c r="H382" s="8">
        <f t="shared" si="20"/>
        <v>500</v>
      </c>
      <c r="L382" s="6">
        <v>1</v>
      </c>
      <c r="M382" s="9" t="str">
        <f t="shared" si="21"/>
        <v>⚠️ REORDER</v>
      </c>
    </row>
    <row r="383" spans="2:13" ht="16" x14ac:dyDescent="0.45">
      <c r="B383" s="9" t="s">
        <v>840</v>
      </c>
      <c r="C383" s="17" t="s">
        <v>11</v>
      </c>
      <c r="D383" t="s">
        <v>666</v>
      </c>
      <c r="E383">
        <v>5</v>
      </c>
      <c r="F383">
        <v>25</v>
      </c>
      <c r="G383">
        <v>50</v>
      </c>
      <c r="H383" s="8">
        <f t="shared" si="20"/>
        <v>250</v>
      </c>
      <c r="L383" s="6">
        <v>1</v>
      </c>
      <c r="M383" s="9" t="str">
        <f t="shared" si="21"/>
        <v>✅ STABLE</v>
      </c>
    </row>
    <row r="384" spans="2:13" ht="16" x14ac:dyDescent="0.45">
      <c r="B384" s="9" t="s">
        <v>841</v>
      </c>
      <c r="C384" s="17" t="s">
        <v>11</v>
      </c>
      <c r="D384" t="s">
        <v>667</v>
      </c>
      <c r="E384">
        <v>10</v>
      </c>
      <c r="F384">
        <v>30</v>
      </c>
      <c r="G384">
        <v>100</v>
      </c>
      <c r="H384" s="8">
        <f t="shared" si="20"/>
        <v>1000</v>
      </c>
      <c r="L384" s="6">
        <v>1</v>
      </c>
      <c r="M384" s="9" t="str">
        <f t="shared" si="21"/>
        <v>✅ STABLE</v>
      </c>
    </row>
    <row r="385" spans="2:13" ht="16" x14ac:dyDescent="0.45">
      <c r="B385" s="9" t="s">
        <v>842</v>
      </c>
      <c r="C385" s="8" t="s">
        <v>19</v>
      </c>
      <c r="D385" s="8" t="s">
        <v>669</v>
      </c>
      <c r="E385">
        <v>1</v>
      </c>
      <c r="F385">
        <v>85</v>
      </c>
      <c r="G385">
        <v>150</v>
      </c>
      <c r="H385" s="8">
        <f t="shared" si="20"/>
        <v>150</v>
      </c>
      <c r="L385" s="6">
        <v>1</v>
      </c>
      <c r="M385" s="9" t="str">
        <f t="shared" si="21"/>
        <v>⚠️ REORDER</v>
      </c>
    </row>
    <row r="386" spans="2:13" ht="16" x14ac:dyDescent="0.45">
      <c r="B386" s="9" t="s">
        <v>843</v>
      </c>
      <c r="C386" s="8" t="s">
        <v>19</v>
      </c>
      <c r="D386" s="8" t="s">
        <v>672</v>
      </c>
      <c r="E386">
        <v>5</v>
      </c>
      <c r="F386">
        <v>32</v>
      </c>
      <c r="G386">
        <v>100</v>
      </c>
      <c r="H386" s="8">
        <f t="shared" si="20"/>
        <v>500</v>
      </c>
      <c r="L386" s="6">
        <v>1</v>
      </c>
      <c r="M386" s="9" t="str">
        <f t="shared" si="21"/>
        <v>✅ STABLE</v>
      </c>
    </row>
    <row r="387" spans="2:13" ht="16" x14ac:dyDescent="0.45">
      <c r="B387" s="9" t="s">
        <v>844</v>
      </c>
      <c r="C387" s="5" t="s">
        <v>20</v>
      </c>
      <c r="D387" s="8" t="s">
        <v>674</v>
      </c>
      <c r="E387">
        <v>2</v>
      </c>
      <c r="F387">
        <v>325</v>
      </c>
      <c r="G387">
        <v>500</v>
      </c>
      <c r="H387" s="8">
        <f t="shared" si="20"/>
        <v>1000</v>
      </c>
      <c r="L387" s="6">
        <v>1</v>
      </c>
      <c r="M387" s="9" t="str">
        <f t="shared" si="21"/>
        <v>✅ STABLE</v>
      </c>
    </row>
    <row r="388" spans="2:13" ht="16" x14ac:dyDescent="0.45">
      <c r="B388" s="9" t="s">
        <v>845</v>
      </c>
      <c r="C388" s="5" t="s">
        <v>20</v>
      </c>
      <c r="D388" s="8" t="s">
        <v>675</v>
      </c>
      <c r="E388">
        <v>2</v>
      </c>
      <c r="F388">
        <v>215</v>
      </c>
      <c r="G388">
        <v>400</v>
      </c>
      <c r="H388" s="8">
        <f t="shared" si="20"/>
        <v>800</v>
      </c>
      <c r="L388" s="6">
        <v>1</v>
      </c>
      <c r="M388" s="9" t="str">
        <f t="shared" si="21"/>
        <v>✅ STABLE</v>
      </c>
    </row>
    <row r="389" spans="2:13" ht="16" x14ac:dyDescent="0.45">
      <c r="B389" s="9" t="s">
        <v>846</v>
      </c>
      <c r="C389" s="17" t="s">
        <v>19</v>
      </c>
      <c r="D389" s="8" t="s">
        <v>677</v>
      </c>
      <c r="E389">
        <v>1</v>
      </c>
      <c r="F389">
        <v>48</v>
      </c>
      <c r="G389">
        <v>100</v>
      </c>
      <c r="H389" s="8">
        <f t="shared" ref="H389:H440" si="22">E389*G389</f>
        <v>100</v>
      </c>
      <c r="L389" s="6">
        <v>1</v>
      </c>
      <c r="M389" s="9" t="str">
        <f t="shared" si="21"/>
        <v>⚠️ REORDER</v>
      </c>
    </row>
    <row r="390" spans="2:13" ht="16" x14ac:dyDescent="0.45">
      <c r="B390" s="9" t="s">
        <v>847</v>
      </c>
      <c r="H390" s="8">
        <f t="shared" si="22"/>
        <v>0</v>
      </c>
      <c r="L390" s="6">
        <v>1</v>
      </c>
      <c r="M390" s="9" t="str">
        <f t="shared" si="21"/>
        <v>⚠️ REORDER</v>
      </c>
    </row>
    <row r="391" spans="2:13" ht="16" x14ac:dyDescent="0.45">
      <c r="B391" s="9" t="s">
        <v>848</v>
      </c>
      <c r="C391" s="5" t="s">
        <v>25</v>
      </c>
      <c r="D391" s="5" t="s">
        <v>721</v>
      </c>
      <c r="E391">
        <v>100</v>
      </c>
      <c r="F391">
        <v>125</v>
      </c>
      <c r="G391">
        <v>6</v>
      </c>
      <c r="H391" s="8">
        <f t="shared" si="22"/>
        <v>600</v>
      </c>
      <c r="L391" s="6">
        <v>1</v>
      </c>
      <c r="M391" s="9" t="str">
        <f t="shared" si="21"/>
        <v>✅ STABLE</v>
      </c>
    </row>
    <row r="392" spans="2:13" ht="16" x14ac:dyDescent="0.45">
      <c r="B392" s="9" t="s">
        <v>849</v>
      </c>
      <c r="C392" s="5" t="s">
        <v>20</v>
      </c>
      <c r="D392" s="8" t="s">
        <v>682</v>
      </c>
      <c r="E392">
        <v>2</v>
      </c>
      <c r="F392">
        <v>380</v>
      </c>
      <c r="G392">
        <v>500</v>
      </c>
      <c r="H392" s="8">
        <f t="shared" si="22"/>
        <v>1000</v>
      </c>
      <c r="L392" s="6">
        <v>1</v>
      </c>
      <c r="M392" s="9" t="str">
        <f t="shared" si="21"/>
        <v>✅ STABLE</v>
      </c>
    </row>
    <row r="393" spans="2:13" ht="16" x14ac:dyDescent="0.45">
      <c r="B393" s="9" t="s">
        <v>850</v>
      </c>
      <c r="C393" s="5" t="s">
        <v>11</v>
      </c>
      <c r="D393" s="5" t="s">
        <v>684</v>
      </c>
      <c r="E393">
        <v>3</v>
      </c>
      <c r="F393">
        <v>45</v>
      </c>
      <c r="G393">
        <v>100</v>
      </c>
      <c r="H393" s="8">
        <f t="shared" si="22"/>
        <v>300</v>
      </c>
      <c r="L393" s="6">
        <v>1</v>
      </c>
      <c r="M393" s="9" t="str">
        <f t="shared" si="21"/>
        <v>✅ STABLE</v>
      </c>
    </row>
    <row r="394" spans="2:13" ht="16" x14ac:dyDescent="0.45">
      <c r="B394" s="9" t="s">
        <v>851</v>
      </c>
      <c r="C394" s="5" t="s">
        <v>11</v>
      </c>
      <c r="D394" s="5" t="s">
        <v>685</v>
      </c>
      <c r="E394">
        <v>3</v>
      </c>
      <c r="F394">
        <v>22</v>
      </c>
      <c r="G394">
        <v>50</v>
      </c>
      <c r="H394" s="8">
        <f t="shared" si="22"/>
        <v>150</v>
      </c>
      <c r="L394" s="6">
        <v>1</v>
      </c>
      <c r="M394" s="9" t="str">
        <f t="shared" si="21"/>
        <v>✅ STABLE</v>
      </c>
    </row>
    <row r="395" spans="2:13" ht="16" x14ac:dyDescent="0.45">
      <c r="B395" s="9" t="s">
        <v>852</v>
      </c>
      <c r="C395" s="5" t="s">
        <v>11</v>
      </c>
      <c r="D395" s="5" t="s">
        <v>686</v>
      </c>
      <c r="E395">
        <v>2</v>
      </c>
      <c r="F395">
        <v>32</v>
      </c>
      <c r="G395">
        <v>50</v>
      </c>
      <c r="H395" s="8">
        <f t="shared" si="22"/>
        <v>100</v>
      </c>
      <c r="L395" s="6">
        <v>1</v>
      </c>
      <c r="M395" s="9" t="str">
        <f t="shared" si="21"/>
        <v>✅ STABLE</v>
      </c>
    </row>
    <row r="396" spans="2:13" ht="16" x14ac:dyDescent="0.45">
      <c r="B396" s="9" t="s">
        <v>853</v>
      </c>
      <c r="C396" s="16" t="s">
        <v>687</v>
      </c>
      <c r="D396" s="16" t="s">
        <v>691</v>
      </c>
      <c r="E396">
        <v>1</v>
      </c>
      <c r="F396">
        <v>270</v>
      </c>
      <c r="G396">
        <v>350</v>
      </c>
      <c r="H396" s="8">
        <f t="shared" si="22"/>
        <v>350</v>
      </c>
      <c r="L396" s="6">
        <v>1</v>
      </c>
      <c r="M396" s="9" t="str">
        <f t="shared" si="21"/>
        <v>⚠️ REORDER</v>
      </c>
    </row>
    <row r="397" spans="2:13" ht="16" x14ac:dyDescent="0.45">
      <c r="B397" s="9" t="s">
        <v>854</v>
      </c>
      <c r="C397" s="8" t="s">
        <v>680</v>
      </c>
      <c r="D397" t="s">
        <v>822</v>
      </c>
      <c r="E397">
        <v>2</v>
      </c>
      <c r="F397">
        <v>70</v>
      </c>
      <c r="G397">
        <v>150</v>
      </c>
      <c r="H397" s="8">
        <f t="shared" si="22"/>
        <v>300</v>
      </c>
      <c r="L397" s="6">
        <v>1</v>
      </c>
      <c r="M397" s="9" t="str">
        <f t="shared" si="21"/>
        <v>✅ STABLE</v>
      </c>
    </row>
    <row r="398" spans="2:13" ht="16" x14ac:dyDescent="0.45">
      <c r="B398" s="9" t="s">
        <v>855</v>
      </c>
      <c r="C398" s="5" t="s">
        <v>23</v>
      </c>
      <c r="D398" s="5" t="s">
        <v>694</v>
      </c>
      <c r="E398">
        <v>2</v>
      </c>
      <c r="F398">
        <v>22</v>
      </c>
      <c r="G398">
        <v>10</v>
      </c>
      <c r="H398" s="8">
        <f t="shared" si="22"/>
        <v>20</v>
      </c>
      <c r="L398" s="6">
        <v>1</v>
      </c>
      <c r="M398" s="9" t="str">
        <f t="shared" si="21"/>
        <v>✅ STABLE</v>
      </c>
    </row>
    <row r="399" spans="2:13" ht="16" x14ac:dyDescent="0.45">
      <c r="B399" s="9" t="s">
        <v>856</v>
      </c>
      <c r="C399" s="8" t="s">
        <v>23</v>
      </c>
      <c r="D399" t="s">
        <v>696</v>
      </c>
      <c r="E399">
        <v>10</v>
      </c>
      <c r="F399">
        <v>20</v>
      </c>
      <c r="G399">
        <v>100</v>
      </c>
      <c r="H399" s="8">
        <f t="shared" si="22"/>
        <v>1000</v>
      </c>
      <c r="L399" s="6">
        <v>1</v>
      </c>
      <c r="M399" s="9" t="str">
        <f t="shared" si="21"/>
        <v>✅ STABLE</v>
      </c>
    </row>
    <row r="400" spans="2:13" ht="16" x14ac:dyDescent="0.45">
      <c r="B400" s="9" t="s">
        <v>857</v>
      </c>
      <c r="C400" s="8" t="s">
        <v>23</v>
      </c>
      <c r="D400" t="s">
        <v>697</v>
      </c>
      <c r="E400">
        <v>1</v>
      </c>
      <c r="F400">
        <v>55</v>
      </c>
      <c r="G400">
        <v>150</v>
      </c>
      <c r="H400" s="8">
        <f t="shared" si="22"/>
        <v>150</v>
      </c>
      <c r="L400" s="6">
        <v>1</v>
      </c>
      <c r="M400" s="9" t="str">
        <f t="shared" si="21"/>
        <v>⚠️ REORDER</v>
      </c>
    </row>
    <row r="401" spans="2:13" ht="16" x14ac:dyDescent="0.45">
      <c r="B401" s="9" t="s">
        <v>858</v>
      </c>
      <c r="C401" s="5" t="s">
        <v>23</v>
      </c>
      <c r="D401" s="5" t="s">
        <v>704</v>
      </c>
      <c r="E401">
        <v>1</v>
      </c>
      <c r="F401">
        <v>160</v>
      </c>
      <c r="G401">
        <v>250</v>
      </c>
      <c r="H401" s="8">
        <f t="shared" si="22"/>
        <v>250</v>
      </c>
      <c r="L401" s="6">
        <v>1</v>
      </c>
      <c r="M401" s="9" t="str">
        <f t="shared" si="21"/>
        <v>⚠️ REORDER</v>
      </c>
    </row>
    <row r="402" spans="2:13" ht="16" x14ac:dyDescent="0.45">
      <c r="B402" s="9" t="s">
        <v>859</v>
      </c>
      <c r="C402" s="5" t="s">
        <v>27</v>
      </c>
      <c r="D402" s="5" t="s">
        <v>1131</v>
      </c>
      <c r="E402">
        <v>4</v>
      </c>
      <c r="F402">
        <v>85</v>
      </c>
      <c r="G402">
        <v>200</v>
      </c>
      <c r="H402" s="8">
        <f t="shared" si="22"/>
        <v>800</v>
      </c>
      <c r="L402" s="6">
        <v>1</v>
      </c>
      <c r="M402" s="9" t="str">
        <f t="shared" si="21"/>
        <v>✅ STABLE</v>
      </c>
    </row>
    <row r="403" spans="2:13" ht="16" x14ac:dyDescent="0.45">
      <c r="B403" s="9" t="s">
        <v>860</v>
      </c>
      <c r="C403" s="8" t="s">
        <v>23</v>
      </c>
      <c r="D403" t="s">
        <v>707</v>
      </c>
      <c r="E403">
        <v>1</v>
      </c>
      <c r="F403">
        <v>80</v>
      </c>
      <c r="G403">
        <v>150</v>
      </c>
      <c r="H403" s="8">
        <f t="shared" si="22"/>
        <v>150</v>
      </c>
      <c r="L403" s="6">
        <v>1</v>
      </c>
      <c r="M403" s="9" t="str">
        <f t="shared" si="21"/>
        <v>⚠️ REORDER</v>
      </c>
    </row>
    <row r="404" spans="2:13" ht="16" x14ac:dyDescent="0.45">
      <c r="B404" s="9" t="s">
        <v>861</v>
      </c>
      <c r="C404" s="8" t="s">
        <v>32</v>
      </c>
      <c r="D404" s="8" t="s">
        <v>1164</v>
      </c>
      <c r="E404">
        <v>20</v>
      </c>
      <c r="F404">
        <v>5</v>
      </c>
      <c r="G404">
        <v>10</v>
      </c>
      <c r="H404" s="8">
        <f t="shared" si="22"/>
        <v>200</v>
      </c>
      <c r="L404" s="6">
        <v>1</v>
      </c>
      <c r="M404" s="9" t="str">
        <f t="shared" si="21"/>
        <v>✅ STABLE</v>
      </c>
    </row>
    <row r="405" spans="2:13" ht="16" x14ac:dyDescent="0.45">
      <c r="B405" s="9" t="s">
        <v>862</v>
      </c>
      <c r="C405" s="22" t="s">
        <v>34</v>
      </c>
      <c r="H405" s="8">
        <f t="shared" si="22"/>
        <v>0</v>
      </c>
      <c r="L405" s="6">
        <v>1</v>
      </c>
      <c r="M405" s="9" t="str">
        <f t="shared" si="21"/>
        <v>⚠️ REORDER</v>
      </c>
    </row>
    <row r="406" spans="2:13" ht="16" x14ac:dyDescent="0.45">
      <c r="B406" s="9" t="s">
        <v>863</v>
      </c>
      <c r="C406" s="8" t="s">
        <v>23</v>
      </c>
      <c r="D406" t="s">
        <v>724</v>
      </c>
      <c r="E406">
        <v>12</v>
      </c>
      <c r="F406">
        <v>46</v>
      </c>
      <c r="G406">
        <v>60</v>
      </c>
      <c r="H406" s="8">
        <f t="shared" si="22"/>
        <v>720</v>
      </c>
      <c r="L406" s="6">
        <v>1</v>
      </c>
      <c r="M406" s="9" t="str">
        <f t="shared" si="21"/>
        <v>✅ STABLE</v>
      </c>
    </row>
    <row r="407" spans="2:13" ht="16" x14ac:dyDescent="0.45">
      <c r="B407" s="9" t="s">
        <v>864</v>
      </c>
      <c r="C407" s="5" t="s">
        <v>20</v>
      </c>
      <c r="D407" t="s">
        <v>725</v>
      </c>
      <c r="E407">
        <v>100</v>
      </c>
      <c r="F407">
        <v>300</v>
      </c>
      <c r="G407">
        <v>10</v>
      </c>
      <c r="H407" s="8">
        <f t="shared" si="22"/>
        <v>1000</v>
      </c>
      <c r="L407" s="6">
        <v>1</v>
      </c>
      <c r="M407" s="9" t="str">
        <f t="shared" si="21"/>
        <v>✅ STABLE</v>
      </c>
    </row>
    <row r="408" spans="2:13" ht="16" x14ac:dyDescent="0.45">
      <c r="B408" s="9" t="s">
        <v>865</v>
      </c>
      <c r="C408" s="8" t="s">
        <v>15</v>
      </c>
      <c r="D408" t="s">
        <v>728</v>
      </c>
      <c r="E408">
        <v>10</v>
      </c>
      <c r="F408">
        <v>290</v>
      </c>
      <c r="G408">
        <v>40</v>
      </c>
      <c r="H408" s="8">
        <f t="shared" si="22"/>
        <v>400</v>
      </c>
      <c r="L408" s="6">
        <v>1</v>
      </c>
      <c r="M408" s="9" t="str">
        <f t="shared" si="21"/>
        <v>✅ STABLE</v>
      </c>
    </row>
    <row r="409" spans="2:13" ht="16" x14ac:dyDescent="0.45">
      <c r="B409" s="9" t="s">
        <v>866</v>
      </c>
      <c r="C409" s="5" t="s">
        <v>34</v>
      </c>
      <c r="D409" t="s">
        <v>729</v>
      </c>
      <c r="E409">
        <v>100</v>
      </c>
      <c r="F409">
        <v>85</v>
      </c>
      <c r="G409">
        <v>5</v>
      </c>
      <c r="H409" s="8">
        <f t="shared" si="22"/>
        <v>500</v>
      </c>
      <c r="L409" s="6">
        <v>1</v>
      </c>
      <c r="M409" s="9" t="str">
        <f t="shared" si="21"/>
        <v>✅ STABLE</v>
      </c>
    </row>
    <row r="410" spans="2:13" ht="16" x14ac:dyDescent="0.45">
      <c r="B410" s="9" t="s">
        <v>867</v>
      </c>
      <c r="C410" s="8" t="s">
        <v>15</v>
      </c>
      <c r="D410" s="8" t="s">
        <v>732</v>
      </c>
      <c r="E410">
        <v>0</v>
      </c>
      <c r="F410">
        <v>110</v>
      </c>
      <c r="G410">
        <v>300</v>
      </c>
      <c r="H410" s="8">
        <f t="shared" si="22"/>
        <v>0</v>
      </c>
      <c r="L410" s="6">
        <v>1</v>
      </c>
      <c r="M410" s="9" t="str">
        <f t="shared" si="21"/>
        <v>⚠️ REORDER</v>
      </c>
    </row>
    <row r="411" spans="2:13" ht="16" x14ac:dyDescent="0.45">
      <c r="B411" s="9" t="s">
        <v>868</v>
      </c>
      <c r="C411" s="8" t="s">
        <v>15</v>
      </c>
      <c r="D411" s="8" t="s">
        <v>733</v>
      </c>
      <c r="E411">
        <v>1</v>
      </c>
      <c r="F411">
        <v>110</v>
      </c>
      <c r="G411">
        <v>300</v>
      </c>
      <c r="H411" s="8">
        <f t="shared" si="22"/>
        <v>300</v>
      </c>
      <c r="L411" s="6">
        <v>1</v>
      </c>
      <c r="M411" s="9" t="str">
        <f t="shared" si="21"/>
        <v>⚠️ REORDER</v>
      </c>
    </row>
    <row r="412" spans="2:13" ht="16" x14ac:dyDescent="0.45">
      <c r="B412" s="9" t="s">
        <v>869</v>
      </c>
      <c r="C412" s="8" t="s">
        <v>15</v>
      </c>
      <c r="D412" s="5" t="s">
        <v>734</v>
      </c>
      <c r="E412">
        <v>3</v>
      </c>
      <c r="F412">
        <v>100</v>
      </c>
      <c r="G412">
        <v>300</v>
      </c>
      <c r="H412" s="8">
        <f t="shared" si="22"/>
        <v>900</v>
      </c>
      <c r="L412" s="6">
        <v>1</v>
      </c>
      <c r="M412" s="9" t="str">
        <f t="shared" si="21"/>
        <v>✅ STABLE</v>
      </c>
    </row>
    <row r="413" spans="2:13" ht="16" x14ac:dyDescent="0.45">
      <c r="B413" s="9" t="s">
        <v>870</v>
      </c>
      <c r="C413" s="8"/>
      <c r="H413" s="8">
        <f t="shared" si="22"/>
        <v>0</v>
      </c>
      <c r="L413" s="6">
        <v>1</v>
      </c>
      <c r="M413" s="9" t="str">
        <f t="shared" si="21"/>
        <v>⚠️ REORDER</v>
      </c>
    </row>
    <row r="414" spans="2:13" ht="16" x14ac:dyDescent="0.45">
      <c r="B414" s="9" t="s">
        <v>871</v>
      </c>
      <c r="C414" s="8"/>
      <c r="H414" s="8">
        <f t="shared" si="22"/>
        <v>0</v>
      </c>
      <c r="L414" s="6">
        <v>1</v>
      </c>
      <c r="M414" s="9" t="str">
        <f t="shared" ref="M414:M415" si="23">IF(E414&lt;=L414, "⚠️ REORDER", "✅ STABLE")</f>
        <v>⚠️ REORDER</v>
      </c>
    </row>
    <row r="415" spans="2:13" ht="16" x14ac:dyDescent="0.45">
      <c r="B415" s="9" t="s">
        <v>872</v>
      </c>
      <c r="C415" s="8"/>
      <c r="H415" s="8">
        <f t="shared" si="22"/>
        <v>0</v>
      </c>
      <c r="L415" s="6">
        <v>1</v>
      </c>
      <c r="M415" s="9" t="str">
        <f t="shared" si="23"/>
        <v>⚠️ REORDER</v>
      </c>
    </row>
    <row r="416" spans="2:13" ht="16" x14ac:dyDescent="0.45">
      <c r="B416" s="9" t="s">
        <v>873</v>
      </c>
      <c r="D416" t="s">
        <v>738</v>
      </c>
      <c r="E416">
        <v>2</v>
      </c>
      <c r="F416">
        <v>50</v>
      </c>
      <c r="G416">
        <v>100</v>
      </c>
      <c r="H416" s="8">
        <f t="shared" si="22"/>
        <v>200</v>
      </c>
      <c r="L416" s="6">
        <v>1</v>
      </c>
      <c r="M416" s="9" t="str">
        <f t="shared" ref="M416:M442" si="24">IF(E416&lt;=L416, "⚠️ REORDER", "✅ STABLE")</f>
        <v>✅ STABLE</v>
      </c>
    </row>
    <row r="417" spans="2:13" ht="16" x14ac:dyDescent="0.45">
      <c r="B417" s="9" t="s">
        <v>874</v>
      </c>
      <c r="C417" s="5"/>
      <c r="D417" s="5"/>
      <c r="H417" s="8">
        <f t="shared" si="22"/>
        <v>0</v>
      </c>
      <c r="L417" s="6">
        <v>1</v>
      </c>
      <c r="M417" s="9" t="str">
        <f t="shared" si="24"/>
        <v>⚠️ REORDER</v>
      </c>
    </row>
    <row r="418" spans="2:13" ht="16" x14ac:dyDescent="0.45">
      <c r="B418" s="9" t="s">
        <v>875</v>
      </c>
      <c r="C418" s="5" t="s">
        <v>11</v>
      </c>
      <c r="D418" s="5" t="s">
        <v>744</v>
      </c>
      <c r="E418">
        <v>3</v>
      </c>
      <c r="F418">
        <v>55</v>
      </c>
      <c r="G418">
        <v>150</v>
      </c>
      <c r="H418" s="8">
        <f t="shared" si="22"/>
        <v>450</v>
      </c>
      <c r="L418" s="6">
        <v>1</v>
      </c>
      <c r="M418" s="9" t="str">
        <f t="shared" si="24"/>
        <v>✅ STABLE</v>
      </c>
    </row>
    <row r="419" spans="2:13" ht="16" x14ac:dyDescent="0.45">
      <c r="B419" s="9" t="s">
        <v>876</v>
      </c>
      <c r="C419" s="5" t="s">
        <v>12</v>
      </c>
      <c r="D419" s="5" t="s">
        <v>746</v>
      </c>
      <c r="E419">
        <v>2</v>
      </c>
      <c r="F419">
        <v>65</v>
      </c>
      <c r="G419">
        <v>200</v>
      </c>
      <c r="H419" s="8">
        <f t="shared" si="22"/>
        <v>400</v>
      </c>
      <c r="L419" s="6">
        <v>1</v>
      </c>
      <c r="M419" s="9" t="str">
        <f t="shared" si="24"/>
        <v>✅ STABLE</v>
      </c>
    </row>
    <row r="420" spans="2:13" ht="16" x14ac:dyDescent="0.45">
      <c r="B420" s="9" t="s">
        <v>877</v>
      </c>
      <c r="C420" t="s">
        <v>23</v>
      </c>
      <c r="D420" s="18" t="s">
        <v>912</v>
      </c>
      <c r="E420">
        <v>1</v>
      </c>
      <c r="F420">
        <v>50</v>
      </c>
      <c r="G420">
        <v>100</v>
      </c>
      <c r="H420" s="8">
        <f t="shared" si="22"/>
        <v>100</v>
      </c>
      <c r="L420" s="6">
        <v>1</v>
      </c>
      <c r="M420" s="9" t="str">
        <f t="shared" si="24"/>
        <v>⚠️ REORDER</v>
      </c>
    </row>
    <row r="421" spans="2:13" ht="16" x14ac:dyDescent="0.45">
      <c r="B421" s="9" t="s">
        <v>878</v>
      </c>
      <c r="C421" s="8" t="s">
        <v>15</v>
      </c>
      <c r="D421" s="8" t="s">
        <v>751</v>
      </c>
      <c r="E421">
        <v>100</v>
      </c>
      <c r="F421">
        <v>390</v>
      </c>
      <c r="G421">
        <v>10</v>
      </c>
      <c r="H421" s="8">
        <f t="shared" si="22"/>
        <v>1000</v>
      </c>
      <c r="L421" s="6">
        <v>1</v>
      </c>
      <c r="M421" s="9" t="str">
        <f t="shared" si="24"/>
        <v>✅ STABLE</v>
      </c>
    </row>
    <row r="422" spans="2:13" ht="16" x14ac:dyDescent="0.45">
      <c r="B422" s="9" t="s">
        <v>879</v>
      </c>
      <c r="C422" s="8" t="s">
        <v>19</v>
      </c>
      <c r="D422" s="8" t="s">
        <v>753</v>
      </c>
      <c r="E422">
        <v>1</v>
      </c>
      <c r="F422">
        <v>430</v>
      </c>
      <c r="G422">
        <v>550</v>
      </c>
      <c r="H422" s="8">
        <f t="shared" si="22"/>
        <v>550</v>
      </c>
      <c r="L422" s="6">
        <v>1</v>
      </c>
      <c r="M422" s="9" t="str">
        <f t="shared" si="24"/>
        <v>⚠️ REORDER</v>
      </c>
    </row>
    <row r="423" spans="2:13" ht="16" x14ac:dyDescent="0.45">
      <c r="B423" s="9" t="s">
        <v>880</v>
      </c>
      <c r="C423" s="5" t="s">
        <v>19</v>
      </c>
      <c r="D423" s="5" t="s">
        <v>755</v>
      </c>
      <c r="E423">
        <v>3</v>
      </c>
      <c r="F423">
        <v>35</v>
      </c>
      <c r="G423">
        <v>100</v>
      </c>
      <c r="H423" s="8">
        <f t="shared" si="22"/>
        <v>300</v>
      </c>
      <c r="L423" s="6">
        <v>1</v>
      </c>
      <c r="M423" s="9" t="str">
        <f t="shared" si="24"/>
        <v>✅ STABLE</v>
      </c>
    </row>
    <row r="424" spans="2:13" ht="16" x14ac:dyDescent="0.45">
      <c r="B424" s="9" t="s">
        <v>881</v>
      </c>
      <c r="C424" s="5" t="s">
        <v>20</v>
      </c>
      <c r="D424" s="5" t="s">
        <v>757</v>
      </c>
      <c r="E424">
        <v>30</v>
      </c>
      <c r="F424">
        <v>470</v>
      </c>
      <c r="G424">
        <v>30</v>
      </c>
      <c r="H424" s="8">
        <f t="shared" si="22"/>
        <v>900</v>
      </c>
      <c r="L424" s="6">
        <v>1</v>
      </c>
      <c r="M424" s="9" t="str">
        <f t="shared" si="24"/>
        <v>✅ STABLE</v>
      </c>
    </row>
    <row r="425" spans="2:13" ht="16" x14ac:dyDescent="0.45">
      <c r="B425" s="9" t="s">
        <v>882</v>
      </c>
      <c r="C425" s="8" t="s">
        <v>15</v>
      </c>
      <c r="D425" s="5" t="s">
        <v>766</v>
      </c>
      <c r="E425">
        <v>100</v>
      </c>
      <c r="F425">
        <v>435</v>
      </c>
      <c r="G425">
        <v>15</v>
      </c>
      <c r="H425" s="8">
        <f t="shared" si="22"/>
        <v>1500</v>
      </c>
      <c r="L425" s="6">
        <v>1</v>
      </c>
      <c r="M425" s="9" t="str">
        <f t="shared" si="24"/>
        <v>✅ STABLE</v>
      </c>
    </row>
    <row r="426" spans="2:13" ht="16" x14ac:dyDescent="0.45">
      <c r="B426" s="9" t="s">
        <v>883</v>
      </c>
      <c r="C426" s="5" t="s">
        <v>19</v>
      </c>
      <c r="D426" s="5" t="s">
        <v>770</v>
      </c>
      <c r="E426">
        <v>3</v>
      </c>
      <c r="F426">
        <v>32</v>
      </c>
      <c r="G426">
        <v>100</v>
      </c>
      <c r="H426" s="8">
        <f t="shared" si="22"/>
        <v>300</v>
      </c>
      <c r="L426" s="6">
        <v>1</v>
      </c>
      <c r="M426" s="9" t="str">
        <f t="shared" si="24"/>
        <v>✅ STABLE</v>
      </c>
    </row>
    <row r="427" spans="2:13" ht="16" x14ac:dyDescent="0.45">
      <c r="B427" s="9" t="s">
        <v>884</v>
      </c>
      <c r="C427" s="8" t="s">
        <v>18</v>
      </c>
      <c r="D427" s="8" t="s">
        <v>923</v>
      </c>
      <c r="E427" s="19">
        <v>10</v>
      </c>
      <c r="F427" s="17">
        <v>32</v>
      </c>
      <c r="G427" s="17">
        <v>50</v>
      </c>
      <c r="H427" s="8">
        <f t="shared" si="22"/>
        <v>500</v>
      </c>
      <c r="L427" s="6">
        <v>1</v>
      </c>
      <c r="M427" s="9" t="str">
        <f t="shared" si="24"/>
        <v>✅ STABLE</v>
      </c>
    </row>
    <row r="428" spans="2:13" ht="16" x14ac:dyDescent="0.45">
      <c r="B428" s="9" t="s">
        <v>885</v>
      </c>
      <c r="C428" s="8" t="s">
        <v>19</v>
      </c>
      <c r="D428" s="8" t="s">
        <v>772</v>
      </c>
      <c r="E428">
        <v>3</v>
      </c>
      <c r="F428">
        <v>32</v>
      </c>
      <c r="G428">
        <v>100</v>
      </c>
      <c r="H428" s="8">
        <f t="shared" si="22"/>
        <v>300</v>
      </c>
      <c r="L428" s="6">
        <v>1</v>
      </c>
      <c r="M428" s="9" t="str">
        <f t="shared" si="24"/>
        <v>✅ STABLE</v>
      </c>
    </row>
    <row r="429" spans="2:13" ht="16" x14ac:dyDescent="0.45">
      <c r="B429" s="9" t="s">
        <v>886</v>
      </c>
      <c r="C429" s="8" t="s">
        <v>29</v>
      </c>
      <c r="D429" s="8" t="s">
        <v>781</v>
      </c>
      <c r="E429">
        <v>30</v>
      </c>
      <c r="F429">
        <v>12</v>
      </c>
      <c r="G429">
        <v>20</v>
      </c>
      <c r="H429" s="8">
        <f t="shared" si="22"/>
        <v>600</v>
      </c>
      <c r="L429" s="6">
        <v>1</v>
      </c>
      <c r="M429" s="9" t="str">
        <f t="shared" si="24"/>
        <v>✅ STABLE</v>
      </c>
    </row>
    <row r="430" spans="2:13" ht="16" x14ac:dyDescent="0.45">
      <c r="B430" s="9" t="s">
        <v>887</v>
      </c>
      <c r="C430" s="17" t="s">
        <v>25</v>
      </c>
      <c r="D430" t="s">
        <v>901</v>
      </c>
      <c r="E430">
        <v>3</v>
      </c>
      <c r="F430">
        <v>60</v>
      </c>
      <c r="G430">
        <v>100</v>
      </c>
      <c r="H430" s="8">
        <f t="shared" si="22"/>
        <v>300</v>
      </c>
      <c r="L430" s="6">
        <v>1</v>
      </c>
      <c r="M430" s="9" t="str">
        <f t="shared" si="24"/>
        <v>✅ STABLE</v>
      </c>
    </row>
    <row r="431" spans="2:13" ht="16" x14ac:dyDescent="0.45">
      <c r="B431" s="9" t="s">
        <v>888</v>
      </c>
      <c r="C431" s="8" t="s">
        <v>15</v>
      </c>
      <c r="D431" s="5" t="s">
        <v>782</v>
      </c>
      <c r="E431">
        <v>0</v>
      </c>
      <c r="F431">
        <v>83</v>
      </c>
      <c r="G431">
        <v>300</v>
      </c>
      <c r="H431" s="8">
        <f t="shared" si="22"/>
        <v>0</v>
      </c>
      <c r="L431" s="6">
        <v>1</v>
      </c>
      <c r="M431" s="9" t="str">
        <f t="shared" si="24"/>
        <v>⚠️ REORDER</v>
      </c>
    </row>
    <row r="432" spans="2:13" ht="16" x14ac:dyDescent="0.45">
      <c r="B432" s="9" t="s">
        <v>889</v>
      </c>
      <c r="C432" s="8" t="s">
        <v>15</v>
      </c>
      <c r="D432" s="5" t="s">
        <v>785</v>
      </c>
      <c r="E432">
        <v>2</v>
      </c>
      <c r="F432">
        <v>155</v>
      </c>
      <c r="G432">
        <v>300</v>
      </c>
      <c r="H432" s="8">
        <f t="shared" si="22"/>
        <v>600</v>
      </c>
      <c r="L432" s="6">
        <v>1</v>
      </c>
      <c r="M432" s="9" t="str">
        <f t="shared" si="24"/>
        <v>✅ STABLE</v>
      </c>
    </row>
    <row r="433" spans="2:13" ht="16" x14ac:dyDescent="0.45">
      <c r="B433" s="9" t="s">
        <v>890</v>
      </c>
      <c r="C433" s="8" t="s">
        <v>15</v>
      </c>
      <c r="D433" s="5" t="s">
        <v>786</v>
      </c>
      <c r="E433">
        <v>100</v>
      </c>
      <c r="F433">
        <v>580</v>
      </c>
      <c r="G433">
        <v>30</v>
      </c>
      <c r="H433" s="8">
        <f t="shared" si="22"/>
        <v>3000</v>
      </c>
      <c r="L433" s="6">
        <v>1</v>
      </c>
      <c r="M433" s="9" t="str">
        <f t="shared" si="24"/>
        <v>✅ STABLE</v>
      </c>
    </row>
    <row r="434" spans="2:13" ht="16" x14ac:dyDescent="0.45">
      <c r="B434" s="9" t="s">
        <v>891</v>
      </c>
      <c r="C434" s="8" t="s">
        <v>15</v>
      </c>
      <c r="D434" s="8" t="s">
        <v>791</v>
      </c>
      <c r="E434">
        <v>100</v>
      </c>
      <c r="F434">
        <v>320</v>
      </c>
      <c r="G434">
        <v>10</v>
      </c>
      <c r="H434" s="8">
        <f t="shared" si="22"/>
        <v>1000</v>
      </c>
      <c r="L434" s="6">
        <v>1</v>
      </c>
      <c r="M434" s="9" t="str">
        <f t="shared" si="24"/>
        <v>✅ STABLE</v>
      </c>
    </row>
    <row r="435" spans="2:13" ht="16" x14ac:dyDescent="0.45">
      <c r="B435" s="9" t="s">
        <v>892</v>
      </c>
      <c r="C435" s="5" t="s">
        <v>17</v>
      </c>
      <c r="D435" s="5" t="s">
        <v>796</v>
      </c>
      <c r="E435">
        <v>50</v>
      </c>
      <c r="F435">
        <v>15</v>
      </c>
      <c r="G435">
        <v>20</v>
      </c>
      <c r="H435" s="8">
        <f t="shared" si="22"/>
        <v>1000</v>
      </c>
      <c r="L435" s="6">
        <v>1</v>
      </c>
      <c r="M435" s="9" t="str">
        <f t="shared" si="24"/>
        <v>✅ STABLE</v>
      </c>
    </row>
    <row r="436" spans="2:13" ht="16" x14ac:dyDescent="0.45">
      <c r="B436" s="9" t="s">
        <v>893</v>
      </c>
      <c r="C436" s="8" t="s">
        <v>34</v>
      </c>
      <c r="D436" s="8" t="s">
        <v>804</v>
      </c>
      <c r="E436">
        <v>100</v>
      </c>
      <c r="F436">
        <v>130</v>
      </c>
      <c r="G436">
        <v>3</v>
      </c>
      <c r="H436" s="8">
        <f t="shared" si="22"/>
        <v>300</v>
      </c>
      <c r="L436" s="6">
        <v>1</v>
      </c>
      <c r="M436" s="9" t="str">
        <f t="shared" si="24"/>
        <v>✅ STABLE</v>
      </c>
    </row>
    <row r="437" spans="2:13" ht="16" x14ac:dyDescent="0.45">
      <c r="B437" s="9" t="s">
        <v>894</v>
      </c>
      <c r="C437" s="8" t="s">
        <v>34</v>
      </c>
      <c r="D437" t="s">
        <v>945</v>
      </c>
      <c r="E437">
        <v>300</v>
      </c>
      <c r="F437">
        <v>90</v>
      </c>
      <c r="G437">
        <v>2</v>
      </c>
      <c r="H437" s="8">
        <f t="shared" si="22"/>
        <v>600</v>
      </c>
      <c r="L437" s="6">
        <v>1</v>
      </c>
      <c r="M437" s="9" t="str">
        <f t="shared" si="24"/>
        <v>✅ STABLE</v>
      </c>
    </row>
    <row r="438" spans="2:13" ht="16" x14ac:dyDescent="0.45">
      <c r="B438" s="9" t="s">
        <v>895</v>
      </c>
      <c r="C438" s="5" t="s">
        <v>22</v>
      </c>
      <c r="D438" s="5" t="s">
        <v>809</v>
      </c>
      <c r="E438">
        <v>30</v>
      </c>
      <c r="F438">
        <v>310</v>
      </c>
      <c r="G438">
        <v>20</v>
      </c>
      <c r="H438" s="8">
        <f t="shared" si="22"/>
        <v>600</v>
      </c>
      <c r="L438" s="6">
        <v>1</v>
      </c>
      <c r="M438" s="9" t="str">
        <f t="shared" si="24"/>
        <v>✅ STABLE</v>
      </c>
    </row>
    <row r="439" spans="2:13" ht="16" x14ac:dyDescent="0.45">
      <c r="B439" s="9" t="s">
        <v>896</v>
      </c>
      <c r="C439" t="s">
        <v>32</v>
      </c>
      <c r="D439" t="s">
        <v>814</v>
      </c>
      <c r="E439">
        <v>1</v>
      </c>
      <c r="F439">
        <v>130</v>
      </c>
      <c r="G439">
        <v>0</v>
      </c>
      <c r="H439" s="8">
        <f t="shared" si="22"/>
        <v>0</v>
      </c>
      <c r="L439" s="6">
        <v>1</v>
      </c>
      <c r="M439" s="9" t="str">
        <f t="shared" si="24"/>
        <v>⚠️ REORDER</v>
      </c>
    </row>
    <row r="440" spans="2:13" ht="16" x14ac:dyDescent="0.45">
      <c r="B440" s="9" t="s">
        <v>897</v>
      </c>
      <c r="H440" s="8">
        <f t="shared" si="22"/>
        <v>0</v>
      </c>
      <c r="L440" s="6">
        <v>1</v>
      </c>
      <c r="M440" s="9" t="str">
        <f t="shared" si="24"/>
        <v>⚠️ REORDER</v>
      </c>
    </row>
    <row r="441" spans="2:13" ht="16" x14ac:dyDescent="0.45">
      <c r="C441" s="5"/>
      <c r="D441" s="5"/>
      <c r="L441" s="6">
        <v>1</v>
      </c>
      <c r="M441" s="9" t="str">
        <f t="shared" si="24"/>
        <v>⚠️ REORDER</v>
      </c>
    </row>
    <row r="442" spans="2:13" ht="16" x14ac:dyDescent="0.45">
      <c r="C442" s="5"/>
      <c r="D442" s="5"/>
      <c r="L442" s="6">
        <v>1</v>
      </c>
      <c r="M442" s="9" t="str">
        <f t="shared" si="24"/>
        <v>⚠️ REORDER</v>
      </c>
    </row>
    <row r="443" spans="2:13" ht="16" x14ac:dyDescent="0.45">
      <c r="C443" s="8"/>
    </row>
    <row r="445" spans="2:13" ht="16.5" thickBot="1" x14ac:dyDescent="0.5">
      <c r="D445" s="12" t="s">
        <v>608</v>
      </c>
      <c r="H445" s="13">
        <f>SUM(H5:H444)</f>
        <v>129478</v>
      </c>
    </row>
    <row r="446" spans="2:13" ht="15" thickTop="1" x14ac:dyDescent="0.35"/>
  </sheetData>
  <autoFilter ref="B4:M443" xr:uid="{00000000-0001-0000-0100-000000000000}"/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659"/>
  <sheetViews>
    <sheetView topLeftCell="E1" workbookViewId="0">
      <selection activeCell="G11" sqref="G11"/>
    </sheetView>
  </sheetViews>
  <sheetFormatPr defaultRowHeight="14.5" x14ac:dyDescent="0.35"/>
  <cols>
    <col min="1" max="1" width="3" customWidth="1"/>
    <col min="2" max="2" width="7" customWidth="1"/>
    <col min="3" max="4" width="13" customWidth="1"/>
    <col min="5" max="5" width="33.7265625" customWidth="1"/>
    <col min="6" max="6" width="13" customWidth="1"/>
    <col min="7" max="7" width="19" customWidth="1"/>
    <col min="8" max="8" width="21" customWidth="1"/>
    <col min="9" max="9" width="17.36328125" customWidth="1"/>
    <col min="10" max="10" width="17" customWidth="1"/>
    <col min="11" max="11" width="17.453125" customWidth="1"/>
  </cols>
  <sheetData>
    <row r="2" spans="2:11" ht="25" customHeight="1" x14ac:dyDescent="0.65">
      <c r="B2" s="1" t="s">
        <v>614</v>
      </c>
    </row>
    <row r="3" spans="2:11" ht="15" thickBot="1" x14ac:dyDescent="0.4"/>
    <row r="4" spans="2:11" ht="26" customHeight="1" thickBot="1" x14ac:dyDescent="0.4">
      <c r="B4" s="11" t="s">
        <v>615</v>
      </c>
      <c r="C4" s="11" t="s">
        <v>610</v>
      </c>
      <c r="D4" s="11" t="s">
        <v>36</v>
      </c>
      <c r="E4" s="24" t="s">
        <v>38</v>
      </c>
      <c r="F4" s="11" t="s">
        <v>616</v>
      </c>
      <c r="G4" s="11" t="s">
        <v>617</v>
      </c>
      <c r="H4" s="11" t="s">
        <v>618</v>
      </c>
      <c r="I4" s="11" t="s">
        <v>936</v>
      </c>
      <c r="J4" s="11" t="s">
        <v>930</v>
      </c>
      <c r="K4" s="11" t="s">
        <v>929</v>
      </c>
    </row>
    <row r="5" spans="2:11" ht="16" x14ac:dyDescent="0.45">
      <c r="B5">
        <f>IF(ISBLANK(B2), "", COUNTA($B$2:B2))</f>
        <v>1</v>
      </c>
      <c r="C5" s="8" t="s">
        <v>931</v>
      </c>
      <c r="D5" s="8"/>
      <c r="E5" s="8" t="s">
        <v>932</v>
      </c>
      <c r="F5" s="8">
        <v>1</v>
      </c>
      <c r="G5" s="8">
        <v>150</v>
      </c>
      <c r="H5" s="8">
        <f>F5*G5</f>
        <v>150</v>
      </c>
      <c r="I5" s="8">
        <v>110</v>
      </c>
      <c r="J5" s="8">
        <f>F5*I5</f>
        <v>110</v>
      </c>
      <c r="K5">
        <f>H5-J5</f>
        <v>40</v>
      </c>
    </row>
    <row r="6" spans="2:11" ht="16" x14ac:dyDescent="0.45">
      <c r="B6">
        <v>2</v>
      </c>
      <c r="C6" s="8"/>
      <c r="D6" s="5"/>
      <c r="E6" s="5" t="s">
        <v>933</v>
      </c>
      <c r="F6" s="5">
        <v>2</v>
      </c>
      <c r="G6" s="5">
        <v>5</v>
      </c>
      <c r="H6" s="8">
        <f t="shared" ref="H6:H69" si="0">F6*G6</f>
        <v>10</v>
      </c>
      <c r="I6" s="5">
        <v>0.9</v>
      </c>
      <c r="J6" s="8">
        <f t="shared" ref="J6:J69" si="1">F6*I6</f>
        <v>1.8</v>
      </c>
      <c r="K6">
        <f t="shared" ref="K6:K69" si="2">H6-J6</f>
        <v>8.1999999999999993</v>
      </c>
    </row>
    <row r="7" spans="2:11" ht="16" x14ac:dyDescent="0.45">
      <c r="B7">
        <v>3</v>
      </c>
      <c r="C7" s="8"/>
      <c r="D7" s="8"/>
      <c r="E7" s="8" t="s">
        <v>934</v>
      </c>
      <c r="F7" s="8">
        <v>1</v>
      </c>
      <c r="G7" s="8">
        <v>100</v>
      </c>
      <c r="H7" s="8">
        <f t="shared" si="0"/>
        <v>100</v>
      </c>
      <c r="I7" s="8">
        <v>50</v>
      </c>
      <c r="J7" s="8">
        <f t="shared" si="1"/>
        <v>50</v>
      </c>
      <c r="K7">
        <f t="shared" si="2"/>
        <v>50</v>
      </c>
    </row>
    <row r="8" spans="2:11" ht="16" x14ac:dyDescent="0.45">
      <c r="B8">
        <v>4</v>
      </c>
      <c r="C8" s="8"/>
      <c r="E8" t="s">
        <v>935</v>
      </c>
      <c r="F8">
        <v>10</v>
      </c>
      <c r="G8">
        <v>3</v>
      </c>
      <c r="H8" s="8">
        <f t="shared" si="0"/>
        <v>30</v>
      </c>
      <c r="I8">
        <v>1.3</v>
      </c>
      <c r="J8" s="8">
        <f t="shared" si="1"/>
        <v>13</v>
      </c>
      <c r="K8">
        <f t="shared" si="2"/>
        <v>17</v>
      </c>
    </row>
    <row r="9" spans="2:11" ht="16" x14ac:dyDescent="0.45">
      <c r="B9">
        <v>5</v>
      </c>
      <c r="C9" s="8" t="s">
        <v>651</v>
      </c>
      <c r="E9" t="s">
        <v>937</v>
      </c>
      <c r="F9">
        <v>1</v>
      </c>
      <c r="G9">
        <v>10</v>
      </c>
      <c r="H9" s="8">
        <f t="shared" si="0"/>
        <v>10</v>
      </c>
      <c r="I9">
        <v>7</v>
      </c>
      <c r="J9" s="8">
        <f t="shared" si="1"/>
        <v>7</v>
      </c>
      <c r="K9">
        <f t="shared" si="2"/>
        <v>3</v>
      </c>
    </row>
    <row r="10" spans="2:11" ht="16" x14ac:dyDescent="0.45">
      <c r="B10">
        <v>6</v>
      </c>
      <c r="C10" s="8"/>
      <c r="E10" t="s">
        <v>938</v>
      </c>
      <c r="F10">
        <v>10</v>
      </c>
      <c r="G10">
        <v>20</v>
      </c>
      <c r="H10" s="8">
        <f t="shared" si="0"/>
        <v>200</v>
      </c>
      <c r="I10">
        <v>10</v>
      </c>
      <c r="J10" s="8">
        <f t="shared" si="1"/>
        <v>100</v>
      </c>
      <c r="K10">
        <f t="shared" si="2"/>
        <v>100</v>
      </c>
    </row>
    <row r="11" spans="2:11" ht="16" x14ac:dyDescent="0.45">
      <c r="B11">
        <v>7</v>
      </c>
      <c r="C11" s="8"/>
      <c r="E11" t="s">
        <v>939</v>
      </c>
      <c r="F11">
        <v>1</v>
      </c>
      <c r="G11">
        <v>50</v>
      </c>
      <c r="H11" s="8">
        <f t="shared" si="0"/>
        <v>50</v>
      </c>
      <c r="I11">
        <v>26</v>
      </c>
      <c r="J11" s="8">
        <f t="shared" si="1"/>
        <v>26</v>
      </c>
      <c r="K11">
        <f t="shared" si="2"/>
        <v>24</v>
      </c>
    </row>
    <row r="12" spans="2:11" ht="16" x14ac:dyDescent="0.45">
      <c r="C12" s="8"/>
      <c r="E12" t="s">
        <v>940</v>
      </c>
      <c r="F12">
        <v>10</v>
      </c>
      <c r="G12">
        <v>2</v>
      </c>
      <c r="H12" s="8">
        <f t="shared" si="0"/>
        <v>20</v>
      </c>
      <c r="I12">
        <v>1.2</v>
      </c>
      <c r="J12" s="8">
        <f t="shared" si="1"/>
        <v>12</v>
      </c>
      <c r="K12">
        <f t="shared" si="2"/>
        <v>8</v>
      </c>
    </row>
    <row r="13" spans="2:11" ht="16" x14ac:dyDescent="0.45">
      <c r="C13" t="s">
        <v>941</v>
      </c>
      <c r="E13" t="s">
        <v>942</v>
      </c>
      <c r="F13">
        <v>10</v>
      </c>
      <c r="G13">
        <v>10</v>
      </c>
      <c r="H13" s="8">
        <f t="shared" si="0"/>
        <v>100</v>
      </c>
      <c r="I13">
        <v>2.1</v>
      </c>
      <c r="J13" s="8">
        <f t="shared" si="1"/>
        <v>21</v>
      </c>
      <c r="K13">
        <f t="shared" si="2"/>
        <v>79</v>
      </c>
    </row>
    <row r="14" spans="2:11" ht="16" x14ac:dyDescent="0.45">
      <c r="E14" t="s">
        <v>943</v>
      </c>
      <c r="F14">
        <v>15</v>
      </c>
      <c r="G14">
        <v>6.7</v>
      </c>
      <c r="H14" s="8">
        <f t="shared" si="0"/>
        <v>100.5</v>
      </c>
      <c r="I14">
        <v>3</v>
      </c>
      <c r="J14" s="8">
        <f t="shared" si="1"/>
        <v>45</v>
      </c>
      <c r="K14">
        <f t="shared" si="2"/>
        <v>55.5</v>
      </c>
    </row>
    <row r="15" spans="2:11" ht="16" x14ac:dyDescent="0.45">
      <c r="E15" t="s">
        <v>944</v>
      </c>
      <c r="F15">
        <v>10</v>
      </c>
      <c r="G15">
        <v>2</v>
      </c>
      <c r="H15" s="8">
        <f t="shared" si="0"/>
        <v>20</v>
      </c>
      <c r="I15">
        <v>0.9</v>
      </c>
      <c r="J15" s="8">
        <f t="shared" si="1"/>
        <v>9</v>
      </c>
      <c r="K15">
        <f t="shared" si="2"/>
        <v>11</v>
      </c>
    </row>
    <row r="16" spans="2:11" ht="16" x14ac:dyDescent="0.45">
      <c r="E16" t="s">
        <v>946</v>
      </c>
      <c r="F16">
        <v>1</v>
      </c>
      <c r="G16">
        <v>100</v>
      </c>
      <c r="H16" s="8">
        <f t="shared" si="0"/>
        <v>100</v>
      </c>
      <c r="I16">
        <v>28</v>
      </c>
      <c r="J16" s="8">
        <f t="shared" si="1"/>
        <v>28</v>
      </c>
      <c r="K16">
        <f t="shared" si="2"/>
        <v>72</v>
      </c>
    </row>
    <row r="17" spans="3:11" ht="16" x14ac:dyDescent="0.45">
      <c r="E17" t="s">
        <v>943</v>
      </c>
      <c r="F17">
        <v>15</v>
      </c>
      <c r="G17">
        <v>6.6</v>
      </c>
      <c r="H17" s="8">
        <f t="shared" si="0"/>
        <v>99</v>
      </c>
      <c r="I17">
        <v>3</v>
      </c>
      <c r="J17" s="8">
        <f t="shared" si="1"/>
        <v>45</v>
      </c>
      <c r="K17">
        <f t="shared" si="2"/>
        <v>54</v>
      </c>
    </row>
    <row r="18" spans="3:11" ht="16" x14ac:dyDescent="0.45">
      <c r="E18" t="s">
        <v>947</v>
      </c>
      <c r="F18">
        <v>10</v>
      </c>
      <c r="G18">
        <v>5</v>
      </c>
      <c r="H18" s="8">
        <f t="shared" si="0"/>
        <v>50</v>
      </c>
      <c r="I18">
        <v>0.85</v>
      </c>
      <c r="J18" s="8">
        <f t="shared" si="1"/>
        <v>8.5</v>
      </c>
      <c r="K18">
        <f t="shared" si="2"/>
        <v>41.5</v>
      </c>
    </row>
    <row r="19" spans="3:11" ht="16" x14ac:dyDescent="0.45">
      <c r="C19" t="s">
        <v>948</v>
      </c>
      <c r="E19" t="s">
        <v>933</v>
      </c>
      <c r="F19">
        <v>2</v>
      </c>
      <c r="G19">
        <v>5</v>
      </c>
      <c r="H19" s="8">
        <f t="shared" si="0"/>
        <v>10</v>
      </c>
      <c r="I19">
        <v>0.9</v>
      </c>
      <c r="J19" s="8">
        <f t="shared" si="1"/>
        <v>1.8</v>
      </c>
      <c r="K19">
        <f t="shared" si="2"/>
        <v>8.1999999999999993</v>
      </c>
    </row>
    <row r="20" spans="3:11" ht="16" x14ac:dyDescent="0.45">
      <c r="E20" t="s">
        <v>949</v>
      </c>
      <c r="F20">
        <v>1</v>
      </c>
      <c r="G20">
        <v>25</v>
      </c>
      <c r="H20" s="8">
        <f t="shared" si="0"/>
        <v>25</v>
      </c>
      <c r="I20">
        <v>10.5</v>
      </c>
      <c r="J20" s="8">
        <f t="shared" si="1"/>
        <v>10.5</v>
      </c>
      <c r="K20">
        <f t="shared" si="2"/>
        <v>14.5</v>
      </c>
    </row>
    <row r="21" spans="3:11" ht="16" x14ac:dyDescent="0.45">
      <c r="E21" t="s">
        <v>950</v>
      </c>
      <c r="F21">
        <v>2</v>
      </c>
      <c r="G21">
        <v>10</v>
      </c>
      <c r="H21" s="8">
        <f t="shared" si="0"/>
        <v>20</v>
      </c>
      <c r="I21">
        <v>7</v>
      </c>
      <c r="J21" s="8">
        <f t="shared" si="1"/>
        <v>14</v>
      </c>
      <c r="K21">
        <f t="shared" si="2"/>
        <v>6</v>
      </c>
    </row>
    <row r="22" spans="3:11" ht="16" x14ac:dyDescent="0.45">
      <c r="E22" t="s">
        <v>951</v>
      </c>
      <c r="F22">
        <v>2</v>
      </c>
      <c r="G22">
        <v>20</v>
      </c>
      <c r="H22" s="8">
        <f t="shared" si="0"/>
        <v>40</v>
      </c>
      <c r="I22">
        <v>8</v>
      </c>
      <c r="J22" s="8">
        <f t="shared" si="1"/>
        <v>16</v>
      </c>
      <c r="K22">
        <f t="shared" si="2"/>
        <v>24</v>
      </c>
    </row>
    <row r="23" spans="3:11" ht="16" x14ac:dyDescent="0.45">
      <c r="E23" t="s">
        <v>952</v>
      </c>
      <c r="F23">
        <v>2</v>
      </c>
      <c r="G23">
        <v>5</v>
      </c>
      <c r="H23" s="8">
        <f t="shared" si="0"/>
        <v>10</v>
      </c>
      <c r="I23">
        <v>0.9</v>
      </c>
      <c r="J23" s="8">
        <f t="shared" si="1"/>
        <v>1.8</v>
      </c>
      <c r="K23">
        <f t="shared" si="2"/>
        <v>8.1999999999999993</v>
      </c>
    </row>
    <row r="24" spans="3:11" ht="16" x14ac:dyDescent="0.45">
      <c r="E24" t="s">
        <v>953</v>
      </c>
      <c r="F24">
        <v>20</v>
      </c>
      <c r="G24">
        <v>12.5</v>
      </c>
      <c r="H24" s="8">
        <f t="shared" si="0"/>
        <v>250</v>
      </c>
      <c r="I24">
        <v>6.7</v>
      </c>
      <c r="J24" s="8">
        <f t="shared" si="1"/>
        <v>134</v>
      </c>
      <c r="K24">
        <f t="shared" si="2"/>
        <v>116</v>
      </c>
    </row>
    <row r="25" spans="3:11" ht="16" x14ac:dyDescent="0.45">
      <c r="E25" t="s">
        <v>933</v>
      </c>
      <c r="F25">
        <v>4</v>
      </c>
      <c r="G25">
        <v>5</v>
      </c>
      <c r="H25" s="8">
        <f t="shared" si="0"/>
        <v>20</v>
      </c>
      <c r="I25">
        <v>0.9</v>
      </c>
      <c r="J25" s="8">
        <f t="shared" si="1"/>
        <v>3.6</v>
      </c>
      <c r="K25">
        <f t="shared" si="2"/>
        <v>16.399999999999999</v>
      </c>
    </row>
    <row r="26" spans="3:11" ht="16" x14ac:dyDescent="0.45">
      <c r="E26" t="s">
        <v>940</v>
      </c>
      <c r="F26">
        <v>5</v>
      </c>
      <c r="G26">
        <v>2</v>
      </c>
      <c r="H26" s="8">
        <f t="shared" si="0"/>
        <v>10</v>
      </c>
      <c r="I26">
        <v>1.2</v>
      </c>
      <c r="J26" s="8">
        <f t="shared" si="1"/>
        <v>6</v>
      </c>
      <c r="K26">
        <f t="shared" si="2"/>
        <v>4</v>
      </c>
    </row>
    <row r="27" spans="3:11" ht="16" x14ac:dyDescent="0.45">
      <c r="E27" t="s">
        <v>952</v>
      </c>
      <c r="F27">
        <v>2</v>
      </c>
      <c r="G27">
        <v>5</v>
      </c>
      <c r="H27" s="8">
        <f t="shared" si="0"/>
        <v>10</v>
      </c>
      <c r="I27">
        <v>0.9</v>
      </c>
      <c r="J27" s="8">
        <f t="shared" si="1"/>
        <v>1.8</v>
      </c>
      <c r="K27">
        <f t="shared" si="2"/>
        <v>8.1999999999999993</v>
      </c>
    </row>
    <row r="28" spans="3:11" ht="16" x14ac:dyDescent="0.45">
      <c r="E28" t="s">
        <v>950</v>
      </c>
      <c r="F28">
        <v>1</v>
      </c>
      <c r="G28">
        <v>10</v>
      </c>
      <c r="H28" s="8">
        <f t="shared" si="0"/>
        <v>10</v>
      </c>
      <c r="I28">
        <v>7</v>
      </c>
      <c r="J28" s="8">
        <f t="shared" si="1"/>
        <v>7</v>
      </c>
      <c r="K28">
        <f t="shared" si="2"/>
        <v>3</v>
      </c>
    </row>
    <row r="29" spans="3:11" ht="16" x14ac:dyDescent="0.45">
      <c r="C29" s="21">
        <v>46029</v>
      </c>
      <c r="E29" t="s">
        <v>933</v>
      </c>
      <c r="F29">
        <v>8</v>
      </c>
      <c r="G29">
        <v>5</v>
      </c>
      <c r="H29" s="8">
        <f t="shared" si="0"/>
        <v>40</v>
      </c>
      <c r="I29">
        <v>0.9</v>
      </c>
      <c r="J29" s="8">
        <f t="shared" si="1"/>
        <v>7.2</v>
      </c>
      <c r="K29">
        <f t="shared" si="2"/>
        <v>32.799999999999997</v>
      </c>
    </row>
    <row r="30" spans="3:11" ht="16" x14ac:dyDescent="0.45">
      <c r="C30" s="21"/>
      <c r="E30" t="s">
        <v>933</v>
      </c>
      <c r="F30">
        <v>2</v>
      </c>
      <c r="G30">
        <v>5</v>
      </c>
      <c r="H30" s="8">
        <f t="shared" si="0"/>
        <v>10</v>
      </c>
      <c r="I30">
        <v>0.9</v>
      </c>
      <c r="J30" s="8">
        <f t="shared" si="1"/>
        <v>1.8</v>
      </c>
      <c r="K30">
        <f t="shared" si="2"/>
        <v>8.1999999999999993</v>
      </c>
    </row>
    <row r="31" spans="3:11" ht="16" x14ac:dyDescent="0.45">
      <c r="C31" s="21">
        <v>46060</v>
      </c>
      <c r="E31" t="s">
        <v>933</v>
      </c>
      <c r="F31">
        <v>2</v>
      </c>
      <c r="G31">
        <v>5</v>
      </c>
      <c r="H31" s="8">
        <f t="shared" si="0"/>
        <v>10</v>
      </c>
      <c r="I31">
        <v>0.9</v>
      </c>
      <c r="J31" s="8">
        <f t="shared" si="1"/>
        <v>1.8</v>
      </c>
      <c r="K31">
        <f t="shared" si="2"/>
        <v>8.1999999999999993</v>
      </c>
    </row>
    <row r="32" spans="3:11" ht="16" x14ac:dyDescent="0.45">
      <c r="E32" t="s">
        <v>949</v>
      </c>
      <c r="F32">
        <v>1</v>
      </c>
      <c r="G32">
        <v>25</v>
      </c>
      <c r="H32" s="8">
        <f t="shared" si="0"/>
        <v>25</v>
      </c>
      <c r="I32">
        <v>10.5</v>
      </c>
      <c r="J32" s="8">
        <f t="shared" si="1"/>
        <v>10.5</v>
      </c>
      <c r="K32">
        <f t="shared" si="2"/>
        <v>14.5</v>
      </c>
    </row>
    <row r="33" spans="3:11" ht="16" x14ac:dyDescent="0.45">
      <c r="E33" t="s">
        <v>950</v>
      </c>
      <c r="F33">
        <v>1</v>
      </c>
      <c r="G33">
        <v>10</v>
      </c>
      <c r="H33" s="8">
        <f t="shared" si="0"/>
        <v>10</v>
      </c>
      <c r="I33">
        <v>7</v>
      </c>
      <c r="J33" s="8">
        <f t="shared" si="1"/>
        <v>7</v>
      </c>
      <c r="K33">
        <f t="shared" si="2"/>
        <v>3</v>
      </c>
    </row>
    <row r="34" spans="3:11" ht="16" x14ac:dyDescent="0.45">
      <c r="E34" t="s">
        <v>954</v>
      </c>
      <c r="F34">
        <v>1</v>
      </c>
      <c r="G34">
        <v>20</v>
      </c>
      <c r="H34" s="8">
        <f t="shared" si="0"/>
        <v>20</v>
      </c>
      <c r="I34">
        <v>17</v>
      </c>
      <c r="J34" s="8">
        <f t="shared" si="1"/>
        <v>17</v>
      </c>
      <c r="K34">
        <f t="shared" si="2"/>
        <v>3</v>
      </c>
    </row>
    <row r="35" spans="3:11" ht="16" x14ac:dyDescent="0.45">
      <c r="E35" t="s">
        <v>933</v>
      </c>
      <c r="F35">
        <v>2</v>
      </c>
      <c r="G35">
        <v>5</v>
      </c>
      <c r="H35" s="8">
        <f t="shared" si="0"/>
        <v>10</v>
      </c>
      <c r="I35">
        <v>0.9</v>
      </c>
      <c r="J35" s="8">
        <f t="shared" si="1"/>
        <v>1.8</v>
      </c>
      <c r="K35">
        <f t="shared" si="2"/>
        <v>8.1999999999999993</v>
      </c>
    </row>
    <row r="36" spans="3:11" ht="16" x14ac:dyDescent="0.45">
      <c r="E36" t="s">
        <v>955</v>
      </c>
      <c r="F36">
        <v>1</v>
      </c>
      <c r="G36">
        <v>20</v>
      </c>
      <c r="H36" s="8">
        <f t="shared" si="0"/>
        <v>20</v>
      </c>
      <c r="I36">
        <v>12</v>
      </c>
      <c r="J36" s="8">
        <f t="shared" si="1"/>
        <v>12</v>
      </c>
      <c r="K36">
        <f t="shared" si="2"/>
        <v>8</v>
      </c>
    </row>
    <row r="37" spans="3:11" ht="16" x14ac:dyDescent="0.45">
      <c r="E37" t="s">
        <v>956</v>
      </c>
      <c r="F37">
        <v>1</v>
      </c>
      <c r="G37">
        <v>10</v>
      </c>
      <c r="H37" s="8">
        <f t="shared" si="0"/>
        <v>10</v>
      </c>
      <c r="I37">
        <v>6</v>
      </c>
      <c r="J37" s="8">
        <f t="shared" si="1"/>
        <v>6</v>
      </c>
      <c r="K37">
        <f t="shared" si="2"/>
        <v>4</v>
      </c>
    </row>
    <row r="38" spans="3:11" ht="16" x14ac:dyDescent="0.45">
      <c r="E38" t="s">
        <v>943</v>
      </c>
      <c r="F38">
        <v>5</v>
      </c>
      <c r="G38">
        <v>10</v>
      </c>
      <c r="H38" s="8">
        <f t="shared" si="0"/>
        <v>50</v>
      </c>
      <c r="I38">
        <v>3</v>
      </c>
      <c r="J38" s="8">
        <f t="shared" si="1"/>
        <v>15</v>
      </c>
      <c r="K38">
        <f t="shared" si="2"/>
        <v>35</v>
      </c>
    </row>
    <row r="39" spans="3:11" ht="16" x14ac:dyDescent="0.45">
      <c r="E39" t="s">
        <v>957</v>
      </c>
      <c r="F39">
        <v>10</v>
      </c>
      <c r="G39">
        <v>2</v>
      </c>
      <c r="H39" s="8">
        <f t="shared" si="0"/>
        <v>20</v>
      </c>
      <c r="I39">
        <v>0.65</v>
      </c>
      <c r="J39" s="8">
        <f t="shared" si="1"/>
        <v>6.5</v>
      </c>
      <c r="K39">
        <f t="shared" si="2"/>
        <v>13.5</v>
      </c>
    </row>
    <row r="40" spans="3:11" ht="16" x14ac:dyDescent="0.45">
      <c r="C40" s="21">
        <v>46088</v>
      </c>
      <c r="E40" t="s">
        <v>958</v>
      </c>
      <c r="F40">
        <v>4</v>
      </c>
      <c r="G40">
        <v>5</v>
      </c>
      <c r="H40" s="8">
        <f t="shared" si="0"/>
        <v>20</v>
      </c>
      <c r="I40">
        <v>1.9</v>
      </c>
      <c r="J40" s="8">
        <f t="shared" si="1"/>
        <v>7.6</v>
      </c>
      <c r="K40">
        <f t="shared" si="2"/>
        <v>12.4</v>
      </c>
    </row>
    <row r="41" spans="3:11" ht="16" x14ac:dyDescent="0.45">
      <c r="E41" t="s">
        <v>959</v>
      </c>
      <c r="F41">
        <v>1</v>
      </c>
      <c r="G41">
        <v>20</v>
      </c>
      <c r="H41" s="8">
        <f t="shared" si="0"/>
        <v>20</v>
      </c>
      <c r="I41">
        <v>8.8000000000000007</v>
      </c>
      <c r="J41" s="8">
        <f t="shared" si="1"/>
        <v>8.8000000000000007</v>
      </c>
      <c r="K41">
        <f t="shared" si="2"/>
        <v>11.2</v>
      </c>
    </row>
    <row r="42" spans="3:11" ht="16" x14ac:dyDescent="0.45">
      <c r="E42" t="s">
        <v>944</v>
      </c>
      <c r="F42">
        <v>10</v>
      </c>
      <c r="G42">
        <v>2</v>
      </c>
      <c r="H42" s="8">
        <f t="shared" si="0"/>
        <v>20</v>
      </c>
      <c r="I42">
        <v>0.9</v>
      </c>
      <c r="J42" s="8">
        <f t="shared" si="1"/>
        <v>9</v>
      </c>
      <c r="K42">
        <f t="shared" si="2"/>
        <v>11</v>
      </c>
    </row>
    <row r="43" spans="3:11" ht="16" x14ac:dyDescent="0.45">
      <c r="E43" t="s">
        <v>944</v>
      </c>
      <c r="F43">
        <v>10</v>
      </c>
      <c r="G43">
        <v>2</v>
      </c>
      <c r="H43" s="8">
        <f t="shared" si="0"/>
        <v>20</v>
      </c>
      <c r="I43">
        <v>0.9</v>
      </c>
      <c r="J43" s="8">
        <f t="shared" si="1"/>
        <v>9</v>
      </c>
      <c r="K43">
        <f t="shared" si="2"/>
        <v>11</v>
      </c>
    </row>
    <row r="44" spans="3:11" ht="16" x14ac:dyDescent="0.45">
      <c r="E44" t="s">
        <v>944</v>
      </c>
      <c r="F44">
        <v>10</v>
      </c>
      <c r="G44">
        <v>2</v>
      </c>
      <c r="H44" s="8">
        <f t="shared" si="0"/>
        <v>20</v>
      </c>
      <c r="I44">
        <v>0.9</v>
      </c>
      <c r="J44" s="8">
        <f t="shared" si="1"/>
        <v>9</v>
      </c>
      <c r="K44">
        <f t="shared" si="2"/>
        <v>11</v>
      </c>
    </row>
    <row r="45" spans="3:11" ht="16" x14ac:dyDescent="0.45">
      <c r="E45" t="s">
        <v>934</v>
      </c>
      <c r="F45">
        <v>1</v>
      </c>
      <c r="G45">
        <v>100</v>
      </c>
      <c r="H45" s="8">
        <f t="shared" si="0"/>
        <v>100</v>
      </c>
      <c r="I45">
        <v>50</v>
      </c>
      <c r="J45" s="8">
        <f t="shared" si="1"/>
        <v>50</v>
      </c>
      <c r="K45">
        <f t="shared" si="2"/>
        <v>50</v>
      </c>
    </row>
    <row r="46" spans="3:11" ht="16" x14ac:dyDescent="0.45">
      <c r="E46" t="s">
        <v>960</v>
      </c>
      <c r="F46">
        <v>2</v>
      </c>
      <c r="G46">
        <v>25</v>
      </c>
      <c r="H46" s="8">
        <f t="shared" si="0"/>
        <v>50</v>
      </c>
      <c r="I46">
        <v>17</v>
      </c>
      <c r="J46" s="8">
        <f t="shared" si="1"/>
        <v>34</v>
      </c>
      <c r="K46">
        <f t="shared" si="2"/>
        <v>16</v>
      </c>
    </row>
    <row r="47" spans="3:11" ht="16" x14ac:dyDescent="0.45">
      <c r="E47" t="s">
        <v>959</v>
      </c>
      <c r="F47">
        <v>1</v>
      </c>
      <c r="G47">
        <v>20</v>
      </c>
      <c r="H47" s="8">
        <f t="shared" si="0"/>
        <v>20</v>
      </c>
      <c r="I47">
        <v>8.8000000000000007</v>
      </c>
      <c r="J47" s="8">
        <f t="shared" si="1"/>
        <v>8.8000000000000007</v>
      </c>
      <c r="K47">
        <f t="shared" si="2"/>
        <v>11.2</v>
      </c>
    </row>
    <row r="48" spans="3:11" ht="16" x14ac:dyDescent="0.45">
      <c r="E48" t="s">
        <v>961</v>
      </c>
      <c r="F48">
        <v>1</v>
      </c>
      <c r="G48">
        <v>50</v>
      </c>
      <c r="H48" s="8">
        <f t="shared" si="0"/>
        <v>50</v>
      </c>
      <c r="I48">
        <v>10</v>
      </c>
      <c r="J48" s="8">
        <f t="shared" si="1"/>
        <v>10</v>
      </c>
      <c r="K48">
        <f t="shared" si="2"/>
        <v>40</v>
      </c>
    </row>
    <row r="49" spans="3:11" ht="16" x14ac:dyDescent="0.45">
      <c r="E49" t="s">
        <v>934</v>
      </c>
      <c r="F49">
        <v>1</v>
      </c>
      <c r="G49">
        <v>100</v>
      </c>
      <c r="H49" s="8">
        <f t="shared" si="0"/>
        <v>100</v>
      </c>
      <c r="I49">
        <v>50</v>
      </c>
      <c r="J49" s="8">
        <f t="shared" si="1"/>
        <v>50</v>
      </c>
      <c r="K49">
        <f t="shared" si="2"/>
        <v>50</v>
      </c>
    </row>
    <row r="50" spans="3:11" ht="16" x14ac:dyDescent="0.45">
      <c r="E50" t="s">
        <v>935</v>
      </c>
      <c r="F50">
        <v>10</v>
      </c>
      <c r="G50">
        <v>2</v>
      </c>
      <c r="H50" s="8">
        <f t="shared" si="0"/>
        <v>20</v>
      </c>
      <c r="I50">
        <v>1.3</v>
      </c>
      <c r="J50" s="8">
        <f t="shared" si="1"/>
        <v>13</v>
      </c>
      <c r="K50">
        <f t="shared" si="2"/>
        <v>7</v>
      </c>
    </row>
    <row r="51" spans="3:11" ht="16" x14ac:dyDescent="0.45">
      <c r="E51" t="s">
        <v>962</v>
      </c>
      <c r="F51">
        <v>1</v>
      </c>
      <c r="G51">
        <v>300</v>
      </c>
      <c r="H51" s="8">
        <f t="shared" si="0"/>
        <v>300</v>
      </c>
      <c r="I51">
        <v>110</v>
      </c>
      <c r="J51" s="8">
        <f t="shared" si="1"/>
        <v>110</v>
      </c>
      <c r="K51">
        <f t="shared" si="2"/>
        <v>190</v>
      </c>
    </row>
    <row r="52" spans="3:11" ht="16" x14ac:dyDescent="0.45">
      <c r="E52" t="s">
        <v>963</v>
      </c>
      <c r="F52">
        <v>2</v>
      </c>
      <c r="G52">
        <v>20</v>
      </c>
      <c r="H52" s="8">
        <f t="shared" si="0"/>
        <v>40</v>
      </c>
      <c r="I52">
        <v>13</v>
      </c>
      <c r="J52" s="8">
        <f t="shared" si="1"/>
        <v>26</v>
      </c>
      <c r="K52">
        <f t="shared" si="2"/>
        <v>14</v>
      </c>
    </row>
    <row r="53" spans="3:11" ht="16" x14ac:dyDescent="0.45">
      <c r="E53" t="s">
        <v>964</v>
      </c>
      <c r="F53">
        <v>3</v>
      </c>
      <c r="G53">
        <v>10</v>
      </c>
      <c r="H53" s="8">
        <f t="shared" si="0"/>
        <v>30</v>
      </c>
      <c r="I53">
        <v>2.2999999999999998</v>
      </c>
      <c r="J53" s="8">
        <f t="shared" si="1"/>
        <v>6.8999999999999995</v>
      </c>
      <c r="K53">
        <f t="shared" si="2"/>
        <v>23.1</v>
      </c>
    </row>
    <row r="54" spans="3:11" ht="16" x14ac:dyDescent="0.45">
      <c r="E54" t="s">
        <v>967</v>
      </c>
      <c r="F54">
        <v>10</v>
      </c>
      <c r="G54">
        <v>10</v>
      </c>
      <c r="H54" s="8">
        <f t="shared" si="0"/>
        <v>100</v>
      </c>
      <c r="I54">
        <v>2.9</v>
      </c>
      <c r="J54" s="8">
        <f t="shared" si="1"/>
        <v>29</v>
      </c>
      <c r="K54">
        <f t="shared" si="2"/>
        <v>71</v>
      </c>
    </row>
    <row r="55" spans="3:11" ht="16" x14ac:dyDescent="0.45">
      <c r="E55" t="s">
        <v>968</v>
      </c>
      <c r="F55">
        <v>15</v>
      </c>
      <c r="G55">
        <v>3.3</v>
      </c>
      <c r="H55" s="8">
        <f t="shared" si="0"/>
        <v>49.5</v>
      </c>
      <c r="I55">
        <v>1.2</v>
      </c>
      <c r="J55" s="8">
        <f t="shared" si="1"/>
        <v>18</v>
      </c>
      <c r="K55">
        <f t="shared" si="2"/>
        <v>31.5</v>
      </c>
    </row>
    <row r="56" spans="3:11" ht="16" x14ac:dyDescent="0.45">
      <c r="E56" t="s">
        <v>933</v>
      </c>
      <c r="F56">
        <v>4</v>
      </c>
      <c r="G56">
        <v>5</v>
      </c>
      <c r="H56" s="8">
        <f t="shared" si="0"/>
        <v>20</v>
      </c>
      <c r="I56">
        <v>0.9</v>
      </c>
      <c r="J56" s="8">
        <f t="shared" si="1"/>
        <v>3.6</v>
      </c>
      <c r="K56">
        <f t="shared" si="2"/>
        <v>16.399999999999999</v>
      </c>
    </row>
    <row r="57" spans="3:11" ht="16" x14ac:dyDescent="0.45">
      <c r="E57" t="s">
        <v>961</v>
      </c>
      <c r="F57">
        <v>1</v>
      </c>
      <c r="G57">
        <v>50</v>
      </c>
      <c r="H57" s="8">
        <f>F57*G57</f>
        <v>50</v>
      </c>
      <c r="I57">
        <v>15</v>
      </c>
      <c r="J57" s="8">
        <f t="shared" si="1"/>
        <v>15</v>
      </c>
      <c r="K57">
        <f t="shared" si="2"/>
        <v>35</v>
      </c>
    </row>
    <row r="58" spans="3:11" ht="16" x14ac:dyDescent="0.45">
      <c r="E58" t="s">
        <v>949</v>
      </c>
      <c r="F58">
        <v>2</v>
      </c>
      <c r="G58">
        <v>25</v>
      </c>
      <c r="H58" s="8">
        <f t="shared" si="0"/>
        <v>50</v>
      </c>
      <c r="I58">
        <v>10.5</v>
      </c>
      <c r="J58" s="8">
        <f t="shared" si="1"/>
        <v>21</v>
      </c>
      <c r="K58">
        <f t="shared" si="2"/>
        <v>29</v>
      </c>
    </row>
    <row r="59" spans="3:11" ht="16" x14ac:dyDescent="0.45">
      <c r="E59" t="s">
        <v>933</v>
      </c>
      <c r="F59">
        <v>2</v>
      </c>
      <c r="G59">
        <v>5</v>
      </c>
      <c r="H59" s="8">
        <f t="shared" si="0"/>
        <v>10</v>
      </c>
      <c r="I59">
        <v>0.9</v>
      </c>
      <c r="J59" s="8">
        <f t="shared" si="1"/>
        <v>1.8</v>
      </c>
      <c r="K59">
        <f t="shared" si="2"/>
        <v>8.1999999999999993</v>
      </c>
    </row>
    <row r="60" spans="3:11" ht="16" x14ac:dyDescent="0.45">
      <c r="E60" t="s">
        <v>969</v>
      </c>
      <c r="F60">
        <v>1</v>
      </c>
      <c r="G60">
        <v>50</v>
      </c>
      <c r="H60" s="8">
        <f t="shared" si="0"/>
        <v>50</v>
      </c>
      <c r="I60">
        <v>39</v>
      </c>
      <c r="J60" s="8">
        <f t="shared" si="1"/>
        <v>39</v>
      </c>
      <c r="K60">
        <f t="shared" si="2"/>
        <v>11</v>
      </c>
    </row>
    <row r="61" spans="3:11" ht="16" x14ac:dyDescent="0.45">
      <c r="E61" t="s">
        <v>970</v>
      </c>
      <c r="F61">
        <v>2</v>
      </c>
      <c r="G61">
        <v>25</v>
      </c>
      <c r="H61" s="8">
        <f t="shared" si="0"/>
        <v>50</v>
      </c>
      <c r="I61">
        <v>15.6</v>
      </c>
      <c r="J61" s="8">
        <f t="shared" si="1"/>
        <v>31.2</v>
      </c>
      <c r="K61">
        <f t="shared" si="2"/>
        <v>18.8</v>
      </c>
    </row>
    <row r="62" spans="3:11" ht="16" x14ac:dyDescent="0.45">
      <c r="E62" t="s">
        <v>939</v>
      </c>
      <c r="F62">
        <v>1</v>
      </c>
      <c r="G62">
        <v>50</v>
      </c>
      <c r="H62" s="8">
        <f t="shared" si="0"/>
        <v>50</v>
      </c>
      <c r="I62">
        <v>25.6</v>
      </c>
      <c r="J62" s="8">
        <f t="shared" si="1"/>
        <v>25.6</v>
      </c>
      <c r="K62">
        <f t="shared" si="2"/>
        <v>24.4</v>
      </c>
    </row>
    <row r="63" spans="3:11" ht="16" x14ac:dyDescent="0.45">
      <c r="E63" t="s">
        <v>971</v>
      </c>
      <c r="F63">
        <v>1</v>
      </c>
      <c r="G63">
        <v>140</v>
      </c>
      <c r="H63" s="8">
        <f t="shared" si="0"/>
        <v>140</v>
      </c>
      <c r="I63">
        <v>55</v>
      </c>
      <c r="J63" s="8">
        <f t="shared" si="1"/>
        <v>55</v>
      </c>
      <c r="K63">
        <f t="shared" si="2"/>
        <v>85</v>
      </c>
    </row>
    <row r="64" spans="3:11" ht="16" x14ac:dyDescent="0.45">
      <c r="C64" s="21">
        <v>46119</v>
      </c>
      <c r="E64" t="s">
        <v>944</v>
      </c>
      <c r="F64">
        <v>10</v>
      </c>
      <c r="G64">
        <v>2</v>
      </c>
      <c r="H64" s="8">
        <f t="shared" si="0"/>
        <v>20</v>
      </c>
      <c r="I64">
        <v>0.9</v>
      </c>
      <c r="J64" s="8">
        <f t="shared" si="1"/>
        <v>9</v>
      </c>
      <c r="K64">
        <f t="shared" si="2"/>
        <v>11</v>
      </c>
    </row>
    <row r="65" spans="3:11" ht="16" x14ac:dyDescent="0.45">
      <c r="E65" t="s">
        <v>933</v>
      </c>
      <c r="F65">
        <v>6</v>
      </c>
      <c r="G65">
        <v>5</v>
      </c>
      <c r="H65" s="8">
        <f t="shared" si="0"/>
        <v>30</v>
      </c>
      <c r="I65">
        <v>0.9</v>
      </c>
      <c r="J65" s="8">
        <f t="shared" si="1"/>
        <v>5.4</v>
      </c>
      <c r="K65">
        <f t="shared" si="2"/>
        <v>24.6</v>
      </c>
    </row>
    <row r="66" spans="3:11" ht="16" x14ac:dyDescent="0.45">
      <c r="E66" t="s">
        <v>944</v>
      </c>
      <c r="F66">
        <v>10</v>
      </c>
      <c r="G66">
        <v>2</v>
      </c>
      <c r="H66" s="8">
        <f t="shared" si="0"/>
        <v>20</v>
      </c>
      <c r="I66">
        <v>0.9</v>
      </c>
      <c r="J66" s="8">
        <f t="shared" si="1"/>
        <v>9</v>
      </c>
      <c r="K66">
        <f t="shared" si="2"/>
        <v>11</v>
      </c>
    </row>
    <row r="67" spans="3:11" ht="16" x14ac:dyDescent="0.45">
      <c r="E67" t="s">
        <v>949</v>
      </c>
      <c r="F67">
        <v>1</v>
      </c>
      <c r="G67">
        <v>25</v>
      </c>
      <c r="H67" s="8">
        <f t="shared" si="0"/>
        <v>25</v>
      </c>
      <c r="I67">
        <v>10.5</v>
      </c>
      <c r="J67" s="8">
        <f t="shared" si="1"/>
        <v>10.5</v>
      </c>
      <c r="K67">
        <f t="shared" si="2"/>
        <v>14.5</v>
      </c>
    </row>
    <row r="68" spans="3:11" ht="16" x14ac:dyDescent="0.45">
      <c r="E68" t="s">
        <v>961</v>
      </c>
      <c r="F68">
        <v>1</v>
      </c>
      <c r="G68">
        <v>50</v>
      </c>
      <c r="H68" s="8">
        <f t="shared" si="0"/>
        <v>50</v>
      </c>
      <c r="I68">
        <v>10</v>
      </c>
      <c r="J68" s="8">
        <f t="shared" si="1"/>
        <v>10</v>
      </c>
      <c r="K68">
        <f t="shared" si="2"/>
        <v>40</v>
      </c>
    </row>
    <row r="69" spans="3:11" ht="16" x14ac:dyDescent="0.45">
      <c r="E69" t="s">
        <v>944</v>
      </c>
      <c r="F69">
        <v>10</v>
      </c>
      <c r="G69">
        <v>2</v>
      </c>
      <c r="H69" s="8">
        <f t="shared" si="0"/>
        <v>20</v>
      </c>
      <c r="I69">
        <v>0.9</v>
      </c>
      <c r="J69" s="8">
        <f t="shared" si="1"/>
        <v>9</v>
      </c>
      <c r="K69">
        <f t="shared" si="2"/>
        <v>11</v>
      </c>
    </row>
    <row r="70" spans="3:11" ht="16" x14ac:dyDescent="0.45">
      <c r="C70" s="21">
        <v>46149</v>
      </c>
      <c r="E70" t="s">
        <v>961</v>
      </c>
      <c r="F70">
        <v>1</v>
      </c>
      <c r="G70">
        <v>50</v>
      </c>
      <c r="H70" s="8">
        <f t="shared" ref="H70:H133" si="3">F70*G70</f>
        <v>50</v>
      </c>
      <c r="I70">
        <v>10</v>
      </c>
      <c r="J70" s="8">
        <f t="shared" ref="J70:J133" si="4">F70*I70</f>
        <v>10</v>
      </c>
      <c r="K70">
        <f t="shared" ref="K70:K133" si="5">H70-J70</f>
        <v>40</v>
      </c>
    </row>
    <row r="71" spans="3:11" ht="16" x14ac:dyDescent="0.45">
      <c r="E71" t="s">
        <v>933</v>
      </c>
      <c r="F71">
        <v>1</v>
      </c>
      <c r="G71">
        <v>5</v>
      </c>
      <c r="H71" s="8">
        <f t="shared" si="3"/>
        <v>5</v>
      </c>
      <c r="I71">
        <v>0.9</v>
      </c>
      <c r="J71" s="8">
        <f t="shared" si="4"/>
        <v>0.9</v>
      </c>
      <c r="K71">
        <f t="shared" si="5"/>
        <v>4.0999999999999996</v>
      </c>
    </row>
    <row r="72" spans="3:11" ht="16" x14ac:dyDescent="0.45">
      <c r="E72" t="s">
        <v>944</v>
      </c>
      <c r="F72">
        <v>10</v>
      </c>
      <c r="G72">
        <v>2</v>
      </c>
      <c r="H72" s="8">
        <f t="shared" si="3"/>
        <v>20</v>
      </c>
      <c r="I72">
        <v>0.9</v>
      </c>
      <c r="J72" s="8">
        <f t="shared" si="4"/>
        <v>9</v>
      </c>
      <c r="K72">
        <f t="shared" si="5"/>
        <v>11</v>
      </c>
    </row>
    <row r="73" spans="3:11" ht="16" x14ac:dyDescent="0.45">
      <c r="E73" t="s">
        <v>935</v>
      </c>
      <c r="F73">
        <v>10</v>
      </c>
      <c r="G73">
        <v>2</v>
      </c>
      <c r="H73" s="8">
        <f t="shared" si="3"/>
        <v>20</v>
      </c>
      <c r="I73">
        <v>1.3</v>
      </c>
      <c r="J73" s="8">
        <f t="shared" si="4"/>
        <v>13</v>
      </c>
      <c r="K73">
        <f t="shared" si="5"/>
        <v>7</v>
      </c>
    </row>
    <row r="74" spans="3:11" ht="16" x14ac:dyDescent="0.45">
      <c r="E74" t="s">
        <v>934</v>
      </c>
      <c r="F74">
        <v>1</v>
      </c>
      <c r="G74">
        <v>100</v>
      </c>
      <c r="H74" s="8">
        <f t="shared" si="3"/>
        <v>100</v>
      </c>
      <c r="I74">
        <v>50</v>
      </c>
      <c r="J74" s="8">
        <f t="shared" si="4"/>
        <v>50</v>
      </c>
      <c r="K74">
        <f t="shared" si="5"/>
        <v>50</v>
      </c>
    </row>
    <row r="75" spans="3:11" ht="16" x14ac:dyDescent="0.45">
      <c r="E75" t="s">
        <v>972</v>
      </c>
      <c r="F75">
        <v>1</v>
      </c>
      <c r="G75">
        <v>100</v>
      </c>
      <c r="H75" s="8">
        <f t="shared" si="3"/>
        <v>100</v>
      </c>
      <c r="I75">
        <v>46</v>
      </c>
      <c r="J75" s="8">
        <f t="shared" si="4"/>
        <v>46</v>
      </c>
      <c r="K75">
        <f t="shared" si="5"/>
        <v>54</v>
      </c>
    </row>
    <row r="76" spans="3:11" ht="16" x14ac:dyDescent="0.45">
      <c r="E76" t="s">
        <v>933</v>
      </c>
      <c r="F76">
        <v>1</v>
      </c>
      <c r="G76">
        <v>5</v>
      </c>
      <c r="H76" s="8">
        <f t="shared" si="3"/>
        <v>5</v>
      </c>
      <c r="I76">
        <v>0.9</v>
      </c>
      <c r="J76" s="8">
        <f t="shared" si="4"/>
        <v>0.9</v>
      </c>
      <c r="K76">
        <f t="shared" si="5"/>
        <v>4.0999999999999996</v>
      </c>
    </row>
    <row r="77" spans="3:11" ht="16" x14ac:dyDescent="0.45">
      <c r="E77" t="s">
        <v>964</v>
      </c>
      <c r="F77">
        <v>1</v>
      </c>
      <c r="G77">
        <v>10</v>
      </c>
      <c r="H77" s="8">
        <f t="shared" si="3"/>
        <v>10</v>
      </c>
      <c r="I77">
        <v>2.2999999999999998</v>
      </c>
      <c r="J77" s="8">
        <f t="shared" si="4"/>
        <v>2.2999999999999998</v>
      </c>
      <c r="K77">
        <f t="shared" si="5"/>
        <v>7.7</v>
      </c>
    </row>
    <row r="78" spans="3:11" ht="16" x14ac:dyDescent="0.45">
      <c r="E78" t="s">
        <v>969</v>
      </c>
      <c r="F78">
        <v>1</v>
      </c>
      <c r="G78">
        <v>50</v>
      </c>
      <c r="H78" s="8">
        <f t="shared" si="3"/>
        <v>50</v>
      </c>
      <c r="I78">
        <v>39</v>
      </c>
      <c r="J78" s="8">
        <f t="shared" si="4"/>
        <v>39</v>
      </c>
      <c r="K78">
        <f t="shared" si="5"/>
        <v>11</v>
      </c>
    </row>
    <row r="79" spans="3:11" ht="16" x14ac:dyDescent="0.45">
      <c r="E79" t="s">
        <v>973</v>
      </c>
      <c r="F79">
        <v>1</v>
      </c>
      <c r="G79">
        <v>50</v>
      </c>
      <c r="H79" s="8">
        <f t="shared" si="3"/>
        <v>50</v>
      </c>
      <c r="I79">
        <v>10</v>
      </c>
      <c r="J79" s="8">
        <f t="shared" si="4"/>
        <v>10</v>
      </c>
      <c r="K79">
        <f t="shared" si="5"/>
        <v>40</v>
      </c>
    </row>
    <row r="80" spans="3:11" ht="16" x14ac:dyDescent="0.45">
      <c r="E80" t="s">
        <v>950</v>
      </c>
      <c r="F80">
        <v>1</v>
      </c>
      <c r="G80">
        <v>10</v>
      </c>
      <c r="H80" s="8">
        <f t="shared" si="3"/>
        <v>10</v>
      </c>
      <c r="I80">
        <v>7</v>
      </c>
      <c r="J80" s="8">
        <f t="shared" si="4"/>
        <v>7</v>
      </c>
      <c r="K80">
        <f t="shared" si="5"/>
        <v>3</v>
      </c>
    </row>
    <row r="81" spans="3:11" ht="16" x14ac:dyDescent="0.45">
      <c r="E81" t="s">
        <v>935</v>
      </c>
      <c r="F81">
        <v>10</v>
      </c>
      <c r="G81">
        <v>2</v>
      </c>
      <c r="H81" s="8">
        <f t="shared" si="3"/>
        <v>20</v>
      </c>
      <c r="I81">
        <v>1.3</v>
      </c>
      <c r="J81" s="8">
        <f t="shared" si="4"/>
        <v>13</v>
      </c>
      <c r="K81">
        <f t="shared" si="5"/>
        <v>7</v>
      </c>
    </row>
    <row r="82" spans="3:11" ht="16" x14ac:dyDescent="0.45">
      <c r="C82" s="21">
        <v>46180</v>
      </c>
      <c r="E82" t="s">
        <v>933</v>
      </c>
      <c r="F82">
        <v>3</v>
      </c>
      <c r="G82">
        <v>5</v>
      </c>
      <c r="H82" s="8">
        <f t="shared" si="3"/>
        <v>15</v>
      </c>
      <c r="I82">
        <v>0.9</v>
      </c>
      <c r="J82" s="8">
        <f t="shared" si="4"/>
        <v>2.7</v>
      </c>
      <c r="K82">
        <f t="shared" si="5"/>
        <v>12.3</v>
      </c>
    </row>
    <row r="83" spans="3:11" ht="16" x14ac:dyDescent="0.45">
      <c r="E83" t="s">
        <v>974</v>
      </c>
      <c r="F83">
        <v>2</v>
      </c>
      <c r="G83">
        <v>20</v>
      </c>
      <c r="H83" s="8">
        <f t="shared" si="3"/>
        <v>40</v>
      </c>
      <c r="I83">
        <v>12.6</v>
      </c>
      <c r="J83" s="8">
        <f t="shared" si="4"/>
        <v>25.2</v>
      </c>
      <c r="K83">
        <f t="shared" si="5"/>
        <v>14.8</v>
      </c>
    </row>
    <row r="84" spans="3:11" ht="16" x14ac:dyDescent="0.45">
      <c r="E84" t="s">
        <v>975</v>
      </c>
      <c r="F84">
        <v>1</v>
      </c>
      <c r="G84">
        <v>110</v>
      </c>
      <c r="H84" s="8">
        <f t="shared" si="3"/>
        <v>110</v>
      </c>
      <c r="I84">
        <v>50</v>
      </c>
      <c r="J84" s="8">
        <f t="shared" si="4"/>
        <v>50</v>
      </c>
      <c r="K84">
        <f t="shared" si="5"/>
        <v>60</v>
      </c>
    </row>
    <row r="85" spans="3:11" ht="16" x14ac:dyDescent="0.45">
      <c r="E85" t="s">
        <v>976</v>
      </c>
      <c r="F85">
        <v>2</v>
      </c>
      <c r="G85">
        <v>25</v>
      </c>
      <c r="H85" s="8">
        <f t="shared" si="3"/>
        <v>50</v>
      </c>
      <c r="I85">
        <v>20</v>
      </c>
      <c r="J85" s="8">
        <f t="shared" si="4"/>
        <v>40</v>
      </c>
      <c r="K85">
        <f t="shared" si="5"/>
        <v>10</v>
      </c>
    </row>
    <row r="86" spans="3:11" ht="16" x14ac:dyDescent="0.45">
      <c r="E86" t="s">
        <v>956</v>
      </c>
      <c r="F86">
        <v>1</v>
      </c>
      <c r="G86">
        <v>10</v>
      </c>
      <c r="H86" s="8">
        <f t="shared" si="3"/>
        <v>10</v>
      </c>
      <c r="I86">
        <v>6</v>
      </c>
      <c r="J86" s="8">
        <f t="shared" si="4"/>
        <v>6</v>
      </c>
      <c r="K86">
        <f t="shared" si="5"/>
        <v>4</v>
      </c>
    </row>
    <row r="87" spans="3:11" ht="16" x14ac:dyDescent="0.45">
      <c r="E87" t="s">
        <v>977</v>
      </c>
      <c r="F87">
        <v>1</v>
      </c>
      <c r="G87">
        <v>200</v>
      </c>
      <c r="H87" s="8">
        <f t="shared" si="3"/>
        <v>200</v>
      </c>
      <c r="I87">
        <v>165</v>
      </c>
      <c r="J87" s="8">
        <f t="shared" si="4"/>
        <v>165</v>
      </c>
      <c r="K87">
        <f t="shared" si="5"/>
        <v>35</v>
      </c>
    </row>
    <row r="88" spans="3:11" ht="16" x14ac:dyDescent="0.45">
      <c r="C88" s="21">
        <v>46210</v>
      </c>
      <c r="E88" t="s">
        <v>978</v>
      </c>
      <c r="F88">
        <v>1</v>
      </c>
      <c r="G88">
        <v>100</v>
      </c>
      <c r="H88" s="8">
        <f t="shared" si="3"/>
        <v>100</v>
      </c>
      <c r="I88">
        <v>45</v>
      </c>
      <c r="J88" s="8">
        <f t="shared" si="4"/>
        <v>45</v>
      </c>
      <c r="K88">
        <f t="shared" si="5"/>
        <v>55</v>
      </c>
    </row>
    <row r="89" spans="3:11" ht="16" x14ac:dyDescent="0.45">
      <c r="E89" t="s">
        <v>980</v>
      </c>
      <c r="F89">
        <v>1</v>
      </c>
      <c r="G89">
        <v>50</v>
      </c>
      <c r="H89" s="8">
        <f t="shared" si="3"/>
        <v>50</v>
      </c>
      <c r="I89">
        <v>25</v>
      </c>
      <c r="J89" s="8">
        <f t="shared" si="4"/>
        <v>25</v>
      </c>
      <c r="K89">
        <f t="shared" si="5"/>
        <v>25</v>
      </c>
    </row>
    <row r="90" spans="3:11" ht="16" x14ac:dyDescent="0.45">
      <c r="E90" t="s">
        <v>973</v>
      </c>
      <c r="F90">
        <v>1</v>
      </c>
      <c r="G90">
        <v>50</v>
      </c>
      <c r="H90" s="8">
        <f t="shared" si="3"/>
        <v>50</v>
      </c>
      <c r="I90">
        <v>10</v>
      </c>
      <c r="J90" s="8">
        <f t="shared" si="4"/>
        <v>10</v>
      </c>
      <c r="K90">
        <f t="shared" si="5"/>
        <v>40</v>
      </c>
    </row>
    <row r="91" spans="3:11" ht="16" x14ac:dyDescent="0.45">
      <c r="E91" t="s">
        <v>981</v>
      </c>
      <c r="F91">
        <v>2</v>
      </c>
      <c r="G91">
        <v>5</v>
      </c>
      <c r="H91" s="8">
        <f t="shared" si="3"/>
        <v>10</v>
      </c>
      <c r="I91">
        <v>0.65</v>
      </c>
      <c r="J91" s="8">
        <f t="shared" si="4"/>
        <v>1.3</v>
      </c>
      <c r="K91">
        <f t="shared" si="5"/>
        <v>8.6999999999999993</v>
      </c>
    </row>
    <row r="92" spans="3:11" ht="16" x14ac:dyDescent="0.45">
      <c r="E92" t="s">
        <v>940</v>
      </c>
      <c r="F92">
        <v>5</v>
      </c>
      <c r="G92">
        <v>2</v>
      </c>
      <c r="H92" s="8">
        <f t="shared" si="3"/>
        <v>10</v>
      </c>
      <c r="I92">
        <v>1.2</v>
      </c>
      <c r="J92" s="8">
        <f t="shared" si="4"/>
        <v>6</v>
      </c>
      <c r="K92">
        <f t="shared" si="5"/>
        <v>4</v>
      </c>
    </row>
    <row r="93" spans="3:11" ht="16" x14ac:dyDescent="0.45">
      <c r="E93" t="s">
        <v>939</v>
      </c>
      <c r="F93">
        <v>1</v>
      </c>
      <c r="G93">
        <v>50</v>
      </c>
      <c r="H93" s="8">
        <f t="shared" si="3"/>
        <v>50</v>
      </c>
      <c r="I93">
        <v>25</v>
      </c>
      <c r="J93" s="8">
        <f t="shared" si="4"/>
        <v>25</v>
      </c>
      <c r="K93">
        <f t="shared" si="5"/>
        <v>25</v>
      </c>
    </row>
    <row r="94" spans="3:11" ht="16" x14ac:dyDescent="0.45">
      <c r="C94" s="21">
        <v>46241</v>
      </c>
      <c r="E94" t="s">
        <v>983</v>
      </c>
      <c r="F94">
        <v>1</v>
      </c>
      <c r="G94">
        <v>150</v>
      </c>
      <c r="H94" s="8">
        <f t="shared" si="3"/>
        <v>150</v>
      </c>
      <c r="I94">
        <v>55</v>
      </c>
      <c r="J94" s="8">
        <f t="shared" si="4"/>
        <v>55</v>
      </c>
      <c r="K94">
        <f t="shared" si="5"/>
        <v>95</v>
      </c>
    </row>
    <row r="95" spans="3:11" ht="16" x14ac:dyDescent="0.45">
      <c r="E95" t="s">
        <v>984</v>
      </c>
      <c r="F95">
        <v>1</v>
      </c>
      <c r="G95">
        <v>100</v>
      </c>
      <c r="H95" s="8">
        <f t="shared" si="3"/>
        <v>100</v>
      </c>
      <c r="I95">
        <v>85</v>
      </c>
      <c r="J95" s="8">
        <f t="shared" si="4"/>
        <v>85</v>
      </c>
      <c r="K95">
        <f t="shared" si="5"/>
        <v>15</v>
      </c>
    </row>
    <row r="96" spans="3:11" ht="16" x14ac:dyDescent="0.45">
      <c r="E96" t="s">
        <v>985</v>
      </c>
      <c r="F96">
        <v>1</v>
      </c>
      <c r="G96">
        <v>100</v>
      </c>
      <c r="H96" s="8">
        <f t="shared" si="3"/>
        <v>100</v>
      </c>
      <c r="I96">
        <v>88</v>
      </c>
      <c r="J96" s="8">
        <f t="shared" si="4"/>
        <v>88</v>
      </c>
      <c r="K96">
        <f t="shared" si="5"/>
        <v>12</v>
      </c>
    </row>
    <row r="97" spans="3:11" ht="16" x14ac:dyDescent="0.45">
      <c r="E97" t="s">
        <v>933</v>
      </c>
      <c r="F97">
        <v>4</v>
      </c>
      <c r="G97">
        <v>5</v>
      </c>
      <c r="H97" s="8">
        <f t="shared" si="3"/>
        <v>20</v>
      </c>
      <c r="I97">
        <v>0.9</v>
      </c>
      <c r="J97" s="8">
        <f t="shared" si="4"/>
        <v>3.6</v>
      </c>
      <c r="K97">
        <f t="shared" si="5"/>
        <v>16.399999999999999</v>
      </c>
    </row>
    <row r="98" spans="3:11" ht="16" x14ac:dyDescent="0.45">
      <c r="E98" t="s">
        <v>952</v>
      </c>
      <c r="F98">
        <v>10</v>
      </c>
      <c r="G98">
        <v>5</v>
      </c>
      <c r="H98" s="8">
        <f t="shared" si="3"/>
        <v>50</v>
      </c>
      <c r="I98">
        <v>0.9</v>
      </c>
      <c r="J98" s="8">
        <f t="shared" si="4"/>
        <v>9</v>
      </c>
      <c r="K98">
        <f t="shared" si="5"/>
        <v>41</v>
      </c>
    </row>
    <row r="99" spans="3:11" ht="16" x14ac:dyDescent="0.45">
      <c r="E99" t="s">
        <v>943</v>
      </c>
      <c r="F99">
        <v>5</v>
      </c>
      <c r="G99">
        <v>10</v>
      </c>
      <c r="H99" s="8">
        <f>F99*G99</f>
        <v>50</v>
      </c>
      <c r="I99">
        <v>3</v>
      </c>
      <c r="J99" s="8">
        <f t="shared" si="4"/>
        <v>15</v>
      </c>
      <c r="K99">
        <f t="shared" si="5"/>
        <v>35</v>
      </c>
    </row>
    <row r="100" spans="3:11" ht="16" x14ac:dyDescent="0.45">
      <c r="E100" t="s">
        <v>934</v>
      </c>
      <c r="F100">
        <v>1</v>
      </c>
      <c r="G100">
        <v>150</v>
      </c>
      <c r="H100" s="8">
        <f t="shared" si="3"/>
        <v>150</v>
      </c>
      <c r="I100">
        <v>50</v>
      </c>
      <c r="J100" s="8">
        <f t="shared" si="4"/>
        <v>50</v>
      </c>
      <c r="K100">
        <f t="shared" si="5"/>
        <v>100</v>
      </c>
    </row>
    <row r="101" spans="3:11" ht="16" x14ac:dyDescent="0.45">
      <c r="E101" t="s">
        <v>972</v>
      </c>
      <c r="F101">
        <v>1</v>
      </c>
      <c r="G101">
        <v>100</v>
      </c>
      <c r="H101" s="8">
        <f t="shared" si="3"/>
        <v>100</v>
      </c>
      <c r="I101">
        <v>46</v>
      </c>
      <c r="J101" s="8">
        <f t="shared" si="4"/>
        <v>46</v>
      </c>
      <c r="K101">
        <f t="shared" si="5"/>
        <v>54</v>
      </c>
    </row>
    <row r="102" spans="3:11" ht="16" x14ac:dyDescent="0.45">
      <c r="E102" t="s">
        <v>986</v>
      </c>
      <c r="F102">
        <v>10</v>
      </c>
      <c r="G102">
        <v>10</v>
      </c>
      <c r="H102" s="8">
        <f t="shared" si="3"/>
        <v>100</v>
      </c>
      <c r="I102">
        <v>3.2</v>
      </c>
      <c r="J102" s="8">
        <f t="shared" si="4"/>
        <v>32</v>
      </c>
      <c r="K102">
        <f t="shared" si="5"/>
        <v>68</v>
      </c>
    </row>
    <row r="103" spans="3:11" ht="16" x14ac:dyDescent="0.45">
      <c r="E103" t="s">
        <v>987</v>
      </c>
      <c r="F103">
        <v>1</v>
      </c>
      <c r="G103">
        <v>100</v>
      </c>
      <c r="H103" s="8">
        <f t="shared" si="3"/>
        <v>100</v>
      </c>
      <c r="I103">
        <v>22</v>
      </c>
      <c r="J103" s="8">
        <f t="shared" si="4"/>
        <v>22</v>
      </c>
      <c r="K103">
        <f t="shared" si="5"/>
        <v>78</v>
      </c>
    </row>
    <row r="104" spans="3:11" ht="16" x14ac:dyDescent="0.45">
      <c r="E104" t="s">
        <v>961</v>
      </c>
      <c r="F104">
        <v>1</v>
      </c>
      <c r="G104">
        <v>50</v>
      </c>
      <c r="H104" s="8">
        <f t="shared" si="3"/>
        <v>50</v>
      </c>
      <c r="I104">
        <v>15</v>
      </c>
      <c r="J104" s="8">
        <f t="shared" si="4"/>
        <v>15</v>
      </c>
      <c r="K104">
        <f t="shared" si="5"/>
        <v>35</v>
      </c>
    </row>
    <row r="105" spans="3:11" ht="16" x14ac:dyDescent="0.45">
      <c r="E105" t="s">
        <v>938</v>
      </c>
      <c r="F105">
        <v>1</v>
      </c>
      <c r="G105">
        <v>20</v>
      </c>
      <c r="H105" s="8">
        <f t="shared" si="3"/>
        <v>20</v>
      </c>
      <c r="I105">
        <v>10</v>
      </c>
      <c r="J105" s="8">
        <f t="shared" si="4"/>
        <v>10</v>
      </c>
      <c r="K105">
        <f t="shared" si="5"/>
        <v>10</v>
      </c>
    </row>
    <row r="106" spans="3:11" ht="16" x14ac:dyDescent="0.45">
      <c r="C106" s="21">
        <v>46272</v>
      </c>
      <c r="E106" t="s">
        <v>952</v>
      </c>
      <c r="F106">
        <v>4</v>
      </c>
      <c r="G106">
        <v>5</v>
      </c>
      <c r="H106" s="8">
        <f t="shared" si="3"/>
        <v>20</v>
      </c>
      <c r="I106">
        <v>0.9</v>
      </c>
      <c r="J106" s="8">
        <f t="shared" si="4"/>
        <v>3.6</v>
      </c>
      <c r="K106">
        <f t="shared" si="5"/>
        <v>16.399999999999999</v>
      </c>
    </row>
    <row r="107" spans="3:11" ht="16" x14ac:dyDescent="0.45">
      <c r="E107" t="s">
        <v>944</v>
      </c>
      <c r="F107">
        <v>10</v>
      </c>
      <c r="G107">
        <v>2</v>
      </c>
      <c r="H107" s="8">
        <f t="shared" si="3"/>
        <v>20</v>
      </c>
      <c r="I107">
        <v>0.9</v>
      </c>
      <c r="J107" s="8">
        <f t="shared" si="4"/>
        <v>9</v>
      </c>
      <c r="K107">
        <f t="shared" si="5"/>
        <v>11</v>
      </c>
    </row>
    <row r="108" spans="3:11" ht="16" x14ac:dyDescent="0.45">
      <c r="E108" t="s">
        <v>977</v>
      </c>
      <c r="F108">
        <v>1</v>
      </c>
      <c r="G108">
        <v>180</v>
      </c>
      <c r="H108" s="8">
        <f t="shared" si="3"/>
        <v>180</v>
      </c>
      <c r="I108">
        <v>165</v>
      </c>
      <c r="J108" s="8">
        <f t="shared" si="4"/>
        <v>165</v>
      </c>
      <c r="K108">
        <f t="shared" si="5"/>
        <v>15</v>
      </c>
    </row>
    <row r="109" spans="3:11" ht="16" x14ac:dyDescent="0.45">
      <c r="E109" t="s">
        <v>988</v>
      </c>
      <c r="F109">
        <v>1</v>
      </c>
      <c r="G109">
        <v>120</v>
      </c>
      <c r="H109" s="8">
        <f t="shared" si="3"/>
        <v>120</v>
      </c>
      <c r="I109">
        <v>100</v>
      </c>
      <c r="J109" s="8">
        <f t="shared" si="4"/>
        <v>100</v>
      </c>
      <c r="K109">
        <f t="shared" si="5"/>
        <v>20</v>
      </c>
    </row>
    <row r="110" spans="3:11" ht="16" x14ac:dyDescent="0.45">
      <c r="E110" t="s">
        <v>960</v>
      </c>
      <c r="F110">
        <v>1</v>
      </c>
      <c r="G110">
        <v>20</v>
      </c>
      <c r="H110" s="8">
        <f t="shared" si="3"/>
        <v>20</v>
      </c>
      <c r="I110">
        <v>17</v>
      </c>
      <c r="J110" s="8">
        <f t="shared" si="4"/>
        <v>17</v>
      </c>
      <c r="K110">
        <f t="shared" si="5"/>
        <v>3</v>
      </c>
    </row>
    <row r="111" spans="3:11" ht="16" x14ac:dyDescent="0.45">
      <c r="E111" t="s">
        <v>952</v>
      </c>
      <c r="F111">
        <v>4</v>
      </c>
      <c r="G111">
        <v>5</v>
      </c>
      <c r="H111" s="8">
        <f t="shared" si="3"/>
        <v>20</v>
      </c>
      <c r="I111">
        <v>0.9</v>
      </c>
      <c r="J111" s="8">
        <f t="shared" si="4"/>
        <v>3.6</v>
      </c>
      <c r="K111">
        <f t="shared" si="5"/>
        <v>16.399999999999999</v>
      </c>
    </row>
    <row r="112" spans="3:11" ht="16" x14ac:dyDescent="0.45">
      <c r="E112" t="s">
        <v>944</v>
      </c>
      <c r="F112">
        <v>10</v>
      </c>
      <c r="G112">
        <v>2</v>
      </c>
      <c r="H112" s="8">
        <f t="shared" si="3"/>
        <v>20</v>
      </c>
      <c r="I112">
        <v>0.9</v>
      </c>
      <c r="J112" s="8">
        <f t="shared" si="4"/>
        <v>9</v>
      </c>
      <c r="K112">
        <f t="shared" si="5"/>
        <v>11</v>
      </c>
    </row>
    <row r="113" spans="3:11" ht="16" x14ac:dyDescent="0.45">
      <c r="E113" t="s">
        <v>933</v>
      </c>
      <c r="F113">
        <v>4</v>
      </c>
      <c r="G113">
        <v>5</v>
      </c>
      <c r="H113" s="8">
        <f t="shared" si="3"/>
        <v>20</v>
      </c>
      <c r="I113">
        <v>0.9</v>
      </c>
      <c r="J113" s="8">
        <f t="shared" si="4"/>
        <v>3.6</v>
      </c>
      <c r="K113">
        <f t="shared" si="5"/>
        <v>16.399999999999999</v>
      </c>
    </row>
    <row r="114" spans="3:11" ht="16" x14ac:dyDescent="0.45">
      <c r="E114" t="s">
        <v>950</v>
      </c>
      <c r="F114">
        <v>2</v>
      </c>
      <c r="G114">
        <v>10</v>
      </c>
      <c r="H114" s="8">
        <f t="shared" si="3"/>
        <v>20</v>
      </c>
      <c r="I114">
        <v>7</v>
      </c>
      <c r="J114" s="23">
        <f t="shared" si="4"/>
        <v>14</v>
      </c>
      <c r="K114">
        <f t="shared" si="5"/>
        <v>6</v>
      </c>
    </row>
    <row r="115" spans="3:11" ht="16" x14ac:dyDescent="0.45">
      <c r="E115" t="s">
        <v>952</v>
      </c>
      <c r="F115">
        <v>2</v>
      </c>
      <c r="G115">
        <v>5</v>
      </c>
      <c r="H115" s="8">
        <f t="shared" si="3"/>
        <v>10</v>
      </c>
      <c r="I115">
        <v>0.9</v>
      </c>
      <c r="J115" s="23">
        <f t="shared" si="4"/>
        <v>1.8</v>
      </c>
      <c r="K115">
        <f t="shared" si="5"/>
        <v>8.1999999999999993</v>
      </c>
    </row>
    <row r="116" spans="3:11" ht="16" x14ac:dyDescent="0.45">
      <c r="E116" t="s">
        <v>959</v>
      </c>
      <c r="F116">
        <v>1</v>
      </c>
      <c r="G116">
        <v>20</v>
      </c>
      <c r="H116" s="8">
        <f t="shared" si="3"/>
        <v>20</v>
      </c>
      <c r="I116">
        <v>8.8000000000000007</v>
      </c>
      <c r="J116" s="23">
        <f t="shared" si="4"/>
        <v>8.8000000000000007</v>
      </c>
      <c r="K116">
        <f t="shared" si="5"/>
        <v>11.2</v>
      </c>
    </row>
    <row r="117" spans="3:11" ht="16" x14ac:dyDescent="0.45">
      <c r="E117" t="s">
        <v>956</v>
      </c>
      <c r="F117">
        <v>1</v>
      </c>
      <c r="G117">
        <v>10</v>
      </c>
      <c r="H117" s="8">
        <f t="shared" si="3"/>
        <v>10</v>
      </c>
      <c r="I117">
        <v>6</v>
      </c>
      <c r="J117" s="23">
        <f t="shared" si="4"/>
        <v>6</v>
      </c>
      <c r="K117">
        <f t="shared" si="5"/>
        <v>4</v>
      </c>
    </row>
    <row r="118" spans="3:11" ht="16" x14ac:dyDescent="0.45">
      <c r="E118" t="s">
        <v>938</v>
      </c>
      <c r="F118">
        <v>2</v>
      </c>
      <c r="G118">
        <v>15</v>
      </c>
      <c r="H118" s="8">
        <f t="shared" si="3"/>
        <v>30</v>
      </c>
      <c r="I118">
        <v>10</v>
      </c>
      <c r="J118" s="23">
        <f t="shared" si="4"/>
        <v>20</v>
      </c>
      <c r="K118">
        <f t="shared" si="5"/>
        <v>10</v>
      </c>
    </row>
    <row r="119" spans="3:11" ht="16" x14ac:dyDescent="0.45">
      <c r="C119" s="21">
        <v>46302</v>
      </c>
      <c r="E119" t="s">
        <v>960</v>
      </c>
      <c r="F119">
        <v>1</v>
      </c>
      <c r="G119">
        <v>30</v>
      </c>
      <c r="H119" s="8">
        <f t="shared" si="3"/>
        <v>30</v>
      </c>
      <c r="I119">
        <v>17</v>
      </c>
      <c r="J119" s="23">
        <f t="shared" si="4"/>
        <v>17</v>
      </c>
      <c r="K119">
        <f t="shared" si="5"/>
        <v>13</v>
      </c>
    </row>
    <row r="120" spans="3:11" ht="16" x14ac:dyDescent="0.45">
      <c r="E120" t="s">
        <v>989</v>
      </c>
      <c r="F120">
        <v>1</v>
      </c>
      <c r="G120">
        <v>100</v>
      </c>
      <c r="H120" s="8">
        <f t="shared" si="3"/>
        <v>100</v>
      </c>
      <c r="I120">
        <v>50</v>
      </c>
      <c r="J120" s="23">
        <f t="shared" si="4"/>
        <v>50</v>
      </c>
      <c r="K120">
        <f t="shared" si="5"/>
        <v>50</v>
      </c>
    </row>
    <row r="121" spans="3:11" ht="16" x14ac:dyDescent="0.45">
      <c r="E121" t="s">
        <v>944</v>
      </c>
      <c r="F121">
        <v>5</v>
      </c>
      <c r="G121">
        <v>2</v>
      </c>
      <c r="H121" s="8">
        <f t="shared" si="3"/>
        <v>10</v>
      </c>
      <c r="I121">
        <v>0.9</v>
      </c>
      <c r="J121" s="23">
        <f t="shared" si="4"/>
        <v>4.5</v>
      </c>
      <c r="K121">
        <f t="shared" si="5"/>
        <v>5.5</v>
      </c>
    </row>
    <row r="122" spans="3:11" ht="16" x14ac:dyDescent="0.45">
      <c r="E122" t="s">
        <v>964</v>
      </c>
      <c r="F122">
        <v>1</v>
      </c>
      <c r="G122">
        <v>10</v>
      </c>
      <c r="H122" s="8">
        <f t="shared" si="3"/>
        <v>10</v>
      </c>
      <c r="I122">
        <v>2.2999999999999998</v>
      </c>
      <c r="J122" s="23">
        <f t="shared" si="4"/>
        <v>2.2999999999999998</v>
      </c>
      <c r="K122">
        <f t="shared" si="5"/>
        <v>7.7</v>
      </c>
    </row>
    <row r="123" spans="3:11" ht="16" x14ac:dyDescent="0.45">
      <c r="E123" t="s">
        <v>942</v>
      </c>
      <c r="F123">
        <v>10</v>
      </c>
      <c r="G123">
        <v>10</v>
      </c>
      <c r="H123" s="8">
        <f t="shared" si="3"/>
        <v>100</v>
      </c>
      <c r="I123">
        <v>2.1</v>
      </c>
      <c r="J123" s="23">
        <f t="shared" si="4"/>
        <v>21</v>
      </c>
      <c r="K123">
        <f t="shared" si="5"/>
        <v>79</v>
      </c>
    </row>
    <row r="124" spans="3:11" ht="16" x14ac:dyDescent="0.45">
      <c r="E124" t="s">
        <v>949</v>
      </c>
      <c r="F124">
        <v>2</v>
      </c>
      <c r="G124">
        <v>25</v>
      </c>
      <c r="H124" s="8">
        <f t="shared" si="3"/>
        <v>50</v>
      </c>
      <c r="I124">
        <v>10.5</v>
      </c>
      <c r="J124" s="23">
        <f t="shared" si="4"/>
        <v>21</v>
      </c>
      <c r="K124">
        <f t="shared" si="5"/>
        <v>29</v>
      </c>
    </row>
    <row r="125" spans="3:11" ht="16" x14ac:dyDescent="0.45">
      <c r="E125" t="s">
        <v>990</v>
      </c>
      <c r="F125">
        <v>1</v>
      </c>
      <c r="G125">
        <v>40</v>
      </c>
      <c r="H125" s="8">
        <f t="shared" si="3"/>
        <v>40</v>
      </c>
      <c r="I125">
        <v>27</v>
      </c>
      <c r="J125" s="23">
        <f t="shared" si="4"/>
        <v>27</v>
      </c>
      <c r="K125">
        <f t="shared" si="5"/>
        <v>13</v>
      </c>
    </row>
    <row r="126" spans="3:11" ht="16" x14ac:dyDescent="0.45">
      <c r="E126" t="s">
        <v>950</v>
      </c>
      <c r="F126">
        <v>2</v>
      </c>
      <c r="G126">
        <v>10</v>
      </c>
      <c r="H126" s="8">
        <f t="shared" si="3"/>
        <v>20</v>
      </c>
      <c r="I126">
        <v>7</v>
      </c>
      <c r="J126" s="23">
        <f t="shared" si="4"/>
        <v>14</v>
      </c>
      <c r="K126">
        <f t="shared" si="5"/>
        <v>6</v>
      </c>
    </row>
    <row r="127" spans="3:11" ht="16" x14ac:dyDescent="0.45">
      <c r="E127" t="s">
        <v>952</v>
      </c>
      <c r="F127">
        <v>2</v>
      </c>
      <c r="G127">
        <v>5</v>
      </c>
      <c r="H127" s="8">
        <f t="shared" si="3"/>
        <v>10</v>
      </c>
      <c r="I127">
        <v>0.9</v>
      </c>
      <c r="J127" s="23">
        <f t="shared" si="4"/>
        <v>1.8</v>
      </c>
      <c r="K127">
        <f t="shared" si="5"/>
        <v>8.1999999999999993</v>
      </c>
    </row>
    <row r="128" spans="3:11" ht="16" x14ac:dyDescent="0.45">
      <c r="E128" t="s">
        <v>981</v>
      </c>
      <c r="F128">
        <v>2</v>
      </c>
      <c r="G128">
        <v>5</v>
      </c>
      <c r="H128" s="8">
        <f t="shared" si="3"/>
        <v>10</v>
      </c>
      <c r="I128">
        <v>0.65</v>
      </c>
      <c r="J128" s="23">
        <f t="shared" si="4"/>
        <v>1.3</v>
      </c>
      <c r="K128">
        <f t="shared" si="5"/>
        <v>8.6999999999999993</v>
      </c>
    </row>
    <row r="129" spans="3:11" ht="16" x14ac:dyDescent="0.45">
      <c r="E129" t="s">
        <v>950</v>
      </c>
      <c r="F129">
        <v>1</v>
      </c>
      <c r="G129">
        <v>10</v>
      </c>
      <c r="H129" s="8">
        <f t="shared" si="3"/>
        <v>10</v>
      </c>
      <c r="I129">
        <v>7</v>
      </c>
      <c r="J129" s="23">
        <f t="shared" si="4"/>
        <v>7</v>
      </c>
      <c r="K129">
        <f t="shared" si="5"/>
        <v>3</v>
      </c>
    </row>
    <row r="130" spans="3:11" ht="16" x14ac:dyDescent="0.45">
      <c r="E130" t="s">
        <v>933</v>
      </c>
      <c r="F130">
        <v>1</v>
      </c>
      <c r="G130">
        <v>5</v>
      </c>
      <c r="H130" s="8">
        <f t="shared" si="3"/>
        <v>5</v>
      </c>
      <c r="I130">
        <v>0.9</v>
      </c>
      <c r="J130" s="23">
        <f t="shared" si="4"/>
        <v>0.9</v>
      </c>
      <c r="K130">
        <f t="shared" si="5"/>
        <v>4.0999999999999996</v>
      </c>
    </row>
    <row r="131" spans="3:11" ht="16" x14ac:dyDescent="0.45">
      <c r="E131" t="s">
        <v>991</v>
      </c>
      <c r="F131">
        <v>1</v>
      </c>
      <c r="G131">
        <v>20</v>
      </c>
      <c r="H131" s="8">
        <f t="shared" si="3"/>
        <v>20</v>
      </c>
      <c r="I131">
        <v>16</v>
      </c>
      <c r="J131" s="23">
        <f t="shared" si="4"/>
        <v>16</v>
      </c>
      <c r="K131">
        <f t="shared" si="5"/>
        <v>4</v>
      </c>
    </row>
    <row r="132" spans="3:11" ht="16" x14ac:dyDescent="0.45">
      <c r="E132" t="s">
        <v>956</v>
      </c>
      <c r="F132">
        <v>3</v>
      </c>
      <c r="G132">
        <v>10</v>
      </c>
      <c r="H132" s="8">
        <f t="shared" si="3"/>
        <v>30</v>
      </c>
      <c r="I132">
        <v>6</v>
      </c>
      <c r="J132" s="23">
        <f t="shared" si="4"/>
        <v>18</v>
      </c>
      <c r="K132">
        <f t="shared" si="5"/>
        <v>12</v>
      </c>
    </row>
    <row r="133" spans="3:11" ht="16" x14ac:dyDescent="0.45">
      <c r="E133" t="s">
        <v>934</v>
      </c>
      <c r="F133">
        <v>1</v>
      </c>
      <c r="G133">
        <v>100</v>
      </c>
      <c r="H133" s="8">
        <f t="shared" si="3"/>
        <v>100</v>
      </c>
      <c r="I133">
        <v>50</v>
      </c>
      <c r="J133" s="23">
        <f t="shared" si="4"/>
        <v>50</v>
      </c>
      <c r="K133">
        <f t="shared" si="5"/>
        <v>50</v>
      </c>
    </row>
    <row r="134" spans="3:11" ht="16" x14ac:dyDescent="0.45">
      <c r="E134" t="s">
        <v>957</v>
      </c>
      <c r="F134">
        <v>10</v>
      </c>
      <c r="G134">
        <v>2</v>
      </c>
      <c r="H134" s="8">
        <f t="shared" ref="H134:H197" si="6">F134*G134</f>
        <v>20</v>
      </c>
      <c r="I134">
        <v>0.65</v>
      </c>
      <c r="J134" s="23">
        <f t="shared" ref="J134:J197" si="7">F134*I134</f>
        <v>6.5</v>
      </c>
      <c r="K134">
        <f t="shared" ref="K134:K197" si="8">H134-J134</f>
        <v>13.5</v>
      </c>
    </row>
    <row r="135" spans="3:11" ht="16" x14ac:dyDescent="0.45">
      <c r="E135" t="s">
        <v>944</v>
      </c>
      <c r="F135">
        <v>10</v>
      </c>
      <c r="G135">
        <v>2</v>
      </c>
      <c r="H135" s="8">
        <f t="shared" si="6"/>
        <v>20</v>
      </c>
      <c r="I135">
        <v>0.9</v>
      </c>
      <c r="J135" s="23">
        <f t="shared" si="7"/>
        <v>9</v>
      </c>
      <c r="K135">
        <f t="shared" si="8"/>
        <v>11</v>
      </c>
    </row>
    <row r="136" spans="3:11" ht="16" x14ac:dyDescent="0.45">
      <c r="C136" s="21">
        <v>46333</v>
      </c>
      <c r="E136" t="s">
        <v>288</v>
      </c>
      <c r="F136">
        <v>10</v>
      </c>
      <c r="G136">
        <v>2</v>
      </c>
      <c r="H136" s="8">
        <f t="shared" si="6"/>
        <v>20</v>
      </c>
      <c r="I136">
        <v>0.65</v>
      </c>
      <c r="J136" s="23">
        <f t="shared" si="7"/>
        <v>6.5</v>
      </c>
      <c r="K136">
        <f t="shared" si="8"/>
        <v>13.5</v>
      </c>
    </row>
    <row r="137" spans="3:11" ht="16" x14ac:dyDescent="0.45">
      <c r="E137" t="s">
        <v>989</v>
      </c>
      <c r="F137">
        <v>1</v>
      </c>
      <c r="G137">
        <v>100</v>
      </c>
      <c r="H137" s="8">
        <f t="shared" si="6"/>
        <v>100</v>
      </c>
      <c r="I137">
        <v>45</v>
      </c>
      <c r="J137" s="23">
        <f t="shared" si="7"/>
        <v>45</v>
      </c>
      <c r="K137">
        <f t="shared" si="8"/>
        <v>55</v>
      </c>
    </row>
    <row r="138" spans="3:11" ht="16" x14ac:dyDescent="0.45">
      <c r="E138" t="s">
        <v>970</v>
      </c>
      <c r="F138">
        <v>4</v>
      </c>
      <c r="G138">
        <v>25</v>
      </c>
      <c r="H138" s="8">
        <f t="shared" si="6"/>
        <v>100</v>
      </c>
      <c r="I138">
        <v>15.6</v>
      </c>
      <c r="J138" s="23">
        <f t="shared" si="7"/>
        <v>62.4</v>
      </c>
      <c r="K138">
        <f t="shared" si="8"/>
        <v>37.6</v>
      </c>
    </row>
    <row r="139" spans="3:11" ht="16" x14ac:dyDescent="0.45">
      <c r="E139" t="s">
        <v>952</v>
      </c>
      <c r="F139">
        <v>4</v>
      </c>
      <c r="G139">
        <v>5</v>
      </c>
      <c r="H139" s="8">
        <f t="shared" si="6"/>
        <v>20</v>
      </c>
      <c r="I139">
        <v>0.9</v>
      </c>
      <c r="J139" s="23">
        <f t="shared" si="7"/>
        <v>3.6</v>
      </c>
      <c r="K139">
        <f t="shared" si="8"/>
        <v>16.399999999999999</v>
      </c>
    </row>
    <row r="140" spans="3:11" ht="16" x14ac:dyDescent="0.45">
      <c r="E140" t="s">
        <v>288</v>
      </c>
      <c r="F140">
        <v>10</v>
      </c>
      <c r="G140">
        <v>2</v>
      </c>
      <c r="H140" s="8">
        <f t="shared" si="6"/>
        <v>20</v>
      </c>
      <c r="I140">
        <v>0.65</v>
      </c>
      <c r="J140" s="23">
        <f t="shared" si="7"/>
        <v>6.5</v>
      </c>
      <c r="K140">
        <f t="shared" si="8"/>
        <v>13.5</v>
      </c>
    </row>
    <row r="141" spans="3:11" ht="16" x14ac:dyDescent="0.45">
      <c r="E141" t="s">
        <v>939</v>
      </c>
      <c r="F141">
        <v>1</v>
      </c>
      <c r="G141">
        <v>50</v>
      </c>
      <c r="H141" s="8">
        <f t="shared" si="6"/>
        <v>50</v>
      </c>
      <c r="I141">
        <v>25</v>
      </c>
      <c r="J141" s="23">
        <f t="shared" si="7"/>
        <v>25</v>
      </c>
      <c r="K141">
        <f t="shared" si="8"/>
        <v>25</v>
      </c>
    </row>
    <row r="142" spans="3:11" ht="16" x14ac:dyDescent="0.45">
      <c r="E142" t="s">
        <v>944</v>
      </c>
      <c r="F142">
        <v>10</v>
      </c>
      <c r="G142">
        <v>2</v>
      </c>
      <c r="H142" s="8">
        <f t="shared" si="6"/>
        <v>20</v>
      </c>
      <c r="I142">
        <v>0.9</v>
      </c>
      <c r="J142" s="23">
        <f t="shared" si="7"/>
        <v>9</v>
      </c>
      <c r="K142">
        <f t="shared" si="8"/>
        <v>11</v>
      </c>
    </row>
    <row r="143" spans="3:11" ht="16" x14ac:dyDescent="0.45">
      <c r="C143" s="21">
        <v>46363</v>
      </c>
      <c r="E143" t="s">
        <v>933</v>
      </c>
      <c r="F143">
        <v>6</v>
      </c>
      <c r="G143">
        <v>5</v>
      </c>
      <c r="H143" s="8">
        <f t="shared" si="6"/>
        <v>30</v>
      </c>
      <c r="I143">
        <v>0.9</v>
      </c>
      <c r="J143" s="23">
        <f t="shared" si="7"/>
        <v>5.4</v>
      </c>
      <c r="K143">
        <f t="shared" si="8"/>
        <v>24.6</v>
      </c>
    </row>
    <row r="144" spans="3:11" ht="16" x14ac:dyDescent="0.45">
      <c r="E144" t="s">
        <v>939</v>
      </c>
      <c r="F144">
        <v>1</v>
      </c>
      <c r="G144">
        <v>50</v>
      </c>
      <c r="H144" s="8">
        <f t="shared" si="6"/>
        <v>50</v>
      </c>
      <c r="I144">
        <v>25</v>
      </c>
      <c r="J144" s="23">
        <f t="shared" si="7"/>
        <v>25</v>
      </c>
      <c r="K144">
        <f t="shared" si="8"/>
        <v>25</v>
      </c>
    </row>
    <row r="145" spans="3:11" ht="16" x14ac:dyDescent="0.45">
      <c r="E145" t="s">
        <v>992</v>
      </c>
      <c r="F145">
        <v>1</v>
      </c>
      <c r="G145">
        <v>50</v>
      </c>
      <c r="H145" s="8">
        <f t="shared" si="6"/>
        <v>50</v>
      </c>
      <c r="I145">
        <v>25</v>
      </c>
      <c r="J145" s="23">
        <f t="shared" si="7"/>
        <v>25</v>
      </c>
      <c r="K145">
        <f t="shared" si="8"/>
        <v>25</v>
      </c>
    </row>
    <row r="146" spans="3:11" ht="16" x14ac:dyDescent="0.45">
      <c r="E146" t="s">
        <v>959</v>
      </c>
      <c r="F146">
        <v>3</v>
      </c>
      <c r="G146">
        <v>20</v>
      </c>
      <c r="H146" s="8">
        <f t="shared" si="6"/>
        <v>60</v>
      </c>
      <c r="I146">
        <v>8.8000000000000007</v>
      </c>
      <c r="J146" s="23">
        <f t="shared" si="7"/>
        <v>26.400000000000002</v>
      </c>
      <c r="K146">
        <f t="shared" si="8"/>
        <v>33.599999999999994</v>
      </c>
    </row>
    <row r="147" spans="3:11" ht="16" x14ac:dyDescent="0.45">
      <c r="E147" t="s">
        <v>952</v>
      </c>
      <c r="F147">
        <v>4</v>
      </c>
      <c r="G147">
        <v>5</v>
      </c>
      <c r="H147" s="8">
        <f t="shared" si="6"/>
        <v>20</v>
      </c>
      <c r="I147">
        <v>0.9</v>
      </c>
      <c r="J147" s="23">
        <f t="shared" si="7"/>
        <v>3.6</v>
      </c>
      <c r="K147">
        <f t="shared" si="8"/>
        <v>16.399999999999999</v>
      </c>
    </row>
    <row r="148" spans="3:11" ht="16" x14ac:dyDescent="0.45">
      <c r="E148" t="s">
        <v>944</v>
      </c>
      <c r="F148">
        <v>5</v>
      </c>
      <c r="G148">
        <v>2</v>
      </c>
      <c r="H148" s="8">
        <f t="shared" si="6"/>
        <v>10</v>
      </c>
      <c r="I148">
        <v>0.9</v>
      </c>
      <c r="J148" s="23">
        <f t="shared" si="7"/>
        <v>4.5</v>
      </c>
      <c r="K148">
        <f t="shared" si="8"/>
        <v>5.5</v>
      </c>
    </row>
    <row r="149" spans="3:11" ht="16" x14ac:dyDescent="0.45">
      <c r="E149" t="s">
        <v>935</v>
      </c>
      <c r="F149">
        <v>10</v>
      </c>
      <c r="G149">
        <v>2</v>
      </c>
      <c r="H149" s="8">
        <f t="shared" si="6"/>
        <v>20</v>
      </c>
      <c r="I149">
        <v>1.3</v>
      </c>
      <c r="J149" s="23">
        <f t="shared" si="7"/>
        <v>13</v>
      </c>
      <c r="K149">
        <f t="shared" si="8"/>
        <v>7</v>
      </c>
    </row>
    <row r="150" spans="3:11" ht="16" x14ac:dyDescent="0.45">
      <c r="E150" t="s">
        <v>987</v>
      </c>
      <c r="F150">
        <v>1</v>
      </c>
      <c r="G150">
        <v>100</v>
      </c>
      <c r="H150" s="8">
        <f t="shared" si="6"/>
        <v>100</v>
      </c>
      <c r="I150">
        <v>22</v>
      </c>
      <c r="J150" s="23">
        <f t="shared" si="7"/>
        <v>22</v>
      </c>
      <c r="K150">
        <f t="shared" si="8"/>
        <v>78</v>
      </c>
    </row>
    <row r="151" spans="3:11" ht="16" x14ac:dyDescent="0.45">
      <c r="E151" t="s">
        <v>961</v>
      </c>
      <c r="F151">
        <v>1</v>
      </c>
      <c r="G151">
        <v>50</v>
      </c>
      <c r="H151" s="8">
        <f t="shared" si="6"/>
        <v>50</v>
      </c>
      <c r="I151">
        <v>15</v>
      </c>
      <c r="J151" s="23">
        <f t="shared" si="7"/>
        <v>15</v>
      </c>
      <c r="K151">
        <f t="shared" si="8"/>
        <v>35</v>
      </c>
    </row>
    <row r="152" spans="3:11" ht="16" x14ac:dyDescent="0.45">
      <c r="E152" t="s">
        <v>993</v>
      </c>
      <c r="F152">
        <v>1</v>
      </c>
      <c r="G152">
        <v>50</v>
      </c>
      <c r="H152" s="8">
        <f t="shared" si="6"/>
        <v>50</v>
      </c>
      <c r="I152">
        <v>25</v>
      </c>
      <c r="J152" s="23">
        <f t="shared" si="7"/>
        <v>25</v>
      </c>
      <c r="K152">
        <f t="shared" si="8"/>
        <v>25</v>
      </c>
    </row>
    <row r="153" spans="3:11" ht="16" x14ac:dyDescent="0.45">
      <c r="E153" t="s">
        <v>978</v>
      </c>
      <c r="F153">
        <v>1</v>
      </c>
      <c r="G153">
        <v>100</v>
      </c>
      <c r="H153" s="8">
        <f t="shared" si="6"/>
        <v>100</v>
      </c>
      <c r="I153">
        <v>55</v>
      </c>
      <c r="J153" s="23">
        <f t="shared" si="7"/>
        <v>55</v>
      </c>
      <c r="K153">
        <f t="shared" si="8"/>
        <v>45</v>
      </c>
    </row>
    <row r="154" spans="3:11" ht="16" x14ac:dyDescent="0.45">
      <c r="E154" t="s">
        <v>950</v>
      </c>
      <c r="F154">
        <v>1</v>
      </c>
      <c r="G154">
        <v>10</v>
      </c>
      <c r="H154" s="8">
        <f t="shared" si="6"/>
        <v>10</v>
      </c>
      <c r="I154">
        <v>7</v>
      </c>
      <c r="J154" s="23">
        <f t="shared" si="7"/>
        <v>7</v>
      </c>
      <c r="K154">
        <f t="shared" si="8"/>
        <v>3</v>
      </c>
    </row>
    <row r="155" spans="3:11" ht="16" x14ac:dyDescent="0.45">
      <c r="E155" t="s">
        <v>942</v>
      </c>
      <c r="F155">
        <v>10</v>
      </c>
      <c r="G155">
        <v>10</v>
      </c>
      <c r="H155" s="8">
        <f t="shared" si="6"/>
        <v>100</v>
      </c>
      <c r="I155">
        <v>2.1</v>
      </c>
      <c r="J155" s="23">
        <f t="shared" si="7"/>
        <v>21</v>
      </c>
      <c r="K155">
        <f t="shared" si="8"/>
        <v>79</v>
      </c>
    </row>
    <row r="156" spans="3:11" ht="16" x14ac:dyDescent="0.45">
      <c r="C156" t="s">
        <v>994</v>
      </c>
      <c r="E156" t="s">
        <v>974</v>
      </c>
      <c r="F156">
        <v>7</v>
      </c>
      <c r="G156">
        <v>20</v>
      </c>
      <c r="H156" s="8">
        <f t="shared" si="6"/>
        <v>140</v>
      </c>
      <c r="I156">
        <v>12.6</v>
      </c>
      <c r="J156" s="23">
        <f t="shared" si="7"/>
        <v>88.2</v>
      </c>
      <c r="K156">
        <f t="shared" si="8"/>
        <v>51.8</v>
      </c>
    </row>
    <row r="157" spans="3:11" ht="16" x14ac:dyDescent="0.45">
      <c r="E157" t="s">
        <v>995</v>
      </c>
      <c r="F157">
        <v>10</v>
      </c>
      <c r="G157">
        <v>5</v>
      </c>
      <c r="H157" s="8">
        <f t="shared" si="6"/>
        <v>50</v>
      </c>
      <c r="I157">
        <v>0.75</v>
      </c>
      <c r="J157" s="23">
        <f t="shared" si="7"/>
        <v>7.5</v>
      </c>
      <c r="K157">
        <f t="shared" si="8"/>
        <v>42.5</v>
      </c>
    </row>
    <row r="158" spans="3:11" ht="16" x14ac:dyDescent="0.45">
      <c r="E158" t="s">
        <v>996</v>
      </c>
      <c r="F158">
        <v>1</v>
      </c>
      <c r="G158">
        <v>150</v>
      </c>
      <c r="H158" s="8">
        <f t="shared" si="6"/>
        <v>150</v>
      </c>
      <c r="I158">
        <v>70</v>
      </c>
      <c r="J158" s="23">
        <f t="shared" si="7"/>
        <v>70</v>
      </c>
      <c r="K158">
        <f t="shared" si="8"/>
        <v>80</v>
      </c>
    </row>
    <row r="159" spans="3:11" ht="16" x14ac:dyDescent="0.45">
      <c r="E159" t="s">
        <v>950</v>
      </c>
      <c r="F159">
        <v>1</v>
      </c>
      <c r="G159">
        <v>10</v>
      </c>
      <c r="H159" s="8">
        <f t="shared" si="6"/>
        <v>10</v>
      </c>
      <c r="I159">
        <v>7</v>
      </c>
      <c r="J159" s="23">
        <f t="shared" si="7"/>
        <v>7</v>
      </c>
      <c r="K159">
        <f t="shared" si="8"/>
        <v>3</v>
      </c>
    </row>
    <row r="160" spans="3:11" ht="16" x14ac:dyDescent="0.45">
      <c r="E160" t="s">
        <v>952</v>
      </c>
      <c r="F160">
        <v>4</v>
      </c>
      <c r="G160">
        <v>5</v>
      </c>
      <c r="H160" s="8">
        <f t="shared" si="6"/>
        <v>20</v>
      </c>
      <c r="I160">
        <v>0.9</v>
      </c>
      <c r="J160" s="23">
        <f t="shared" si="7"/>
        <v>3.6</v>
      </c>
      <c r="K160">
        <f t="shared" si="8"/>
        <v>16.399999999999999</v>
      </c>
    </row>
    <row r="161" spans="5:11" ht="16" x14ac:dyDescent="0.45">
      <c r="E161" t="s">
        <v>951</v>
      </c>
      <c r="F161">
        <v>1</v>
      </c>
      <c r="G161">
        <v>20</v>
      </c>
      <c r="H161" s="8">
        <f t="shared" si="6"/>
        <v>20</v>
      </c>
      <c r="I161">
        <v>8</v>
      </c>
      <c r="J161" s="23">
        <f t="shared" si="7"/>
        <v>8</v>
      </c>
      <c r="K161">
        <f t="shared" si="8"/>
        <v>12</v>
      </c>
    </row>
    <row r="162" spans="5:11" ht="16" x14ac:dyDescent="0.45">
      <c r="E162" t="s">
        <v>978</v>
      </c>
      <c r="F162">
        <v>1</v>
      </c>
      <c r="G162">
        <v>100</v>
      </c>
      <c r="H162" s="8">
        <f t="shared" si="6"/>
        <v>100</v>
      </c>
      <c r="I162">
        <v>55</v>
      </c>
      <c r="J162" s="23">
        <f t="shared" si="7"/>
        <v>55</v>
      </c>
      <c r="K162">
        <f t="shared" si="8"/>
        <v>45</v>
      </c>
    </row>
    <row r="163" spans="5:11" ht="16" x14ac:dyDescent="0.45">
      <c r="E163" t="s">
        <v>952</v>
      </c>
      <c r="F163">
        <v>2</v>
      </c>
      <c r="G163">
        <v>5</v>
      </c>
      <c r="H163" s="8">
        <f t="shared" si="6"/>
        <v>10</v>
      </c>
      <c r="I163">
        <v>0.9</v>
      </c>
      <c r="J163" s="23">
        <f t="shared" si="7"/>
        <v>1.8</v>
      </c>
      <c r="K163">
        <f t="shared" si="8"/>
        <v>8.1999999999999993</v>
      </c>
    </row>
    <row r="164" spans="5:11" ht="16" x14ac:dyDescent="0.45">
      <c r="E164" t="s">
        <v>963</v>
      </c>
      <c r="F164">
        <v>3</v>
      </c>
      <c r="G164">
        <v>20</v>
      </c>
      <c r="H164" s="8">
        <f t="shared" si="6"/>
        <v>60</v>
      </c>
      <c r="I164">
        <v>13</v>
      </c>
      <c r="J164" s="23">
        <f t="shared" si="7"/>
        <v>39</v>
      </c>
      <c r="K164">
        <f t="shared" si="8"/>
        <v>21</v>
      </c>
    </row>
    <row r="165" spans="5:11" ht="16" x14ac:dyDescent="0.45">
      <c r="E165" t="s">
        <v>952</v>
      </c>
      <c r="F165">
        <v>10</v>
      </c>
      <c r="G165">
        <v>5</v>
      </c>
      <c r="H165" s="8">
        <f t="shared" si="6"/>
        <v>50</v>
      </c>
      <c r="I165">
        <v>0.9</v>
      </c>
      <c r="J165" s="23">
        <f t="shared" si="7"/>
        <v>9</v>
      </c>
      <c r="K165">
        <f t="shared" si="8"/>
        <v>41</v>
      </c>
    </row>
    <row r="166" spans="5:11" ht="16" x14ac:dyDescent="0.45">
      <c r="E166" t="s">
        <v>986</v>
      </c>
      <c r="F166">
        <v>10</v>
      </c>
      <c r="G166">
        <v>10</v>
      </c>
      <c r="H166" s="8">
        <f t="shared" si="6"/>
        <v>100</v>
      </c>
      <c r="I166">
        <v>3.2</v>
      </c>
      <c r="J166" s="23">
        <f t="shared" si="7"/>
        <v>32</v>
      </c>
      <c r="K166">
        <f t="shared" si="8"/>
        <v>68</v>
      </c>
    </row>
    <row r="167" spans="5:11" ht="16" x14ac:dyDescent="0.45">
      <c r="E167" t="s">
        <v>993</v>
      </c>
      <c r="F167">
        <v>1</v>
      </c>
      <c r="G167">
        <v>50</v>
      </c>
      <c r="H167" s="8">
        <f t="shared" si="6"/>
        <v>50</v>
      </c>
      <c r="I167">
        <v>25</v>
      </c>
      <c r="J167" s="23">
        <f t="shared" si="7"/>
        <v>25</v>
      </c>
      <c r="K167">
        <f t="shared" si="8"/>
        <v>25</v>
      </c>
    </row>
    <row r="168" spans="5:11" ht="16" x14ac:dyDescent="0.45">
      <c r="E168" t="s">
        <v>997</v>
      </c>
      <c r="F168">
        <v>1</v>
      </c>
      <c r="G168">
        <v>230</v>
      </c>
      <c r="H168" s="8">
        <f t="shared" si="6"/>
        <v>230</v>
      </c>
      <c r="I168">
        <v>185</v>
      </c>
      <c r="J168" s="23">
        <f t="shared" si="7"/>
        <v>185</v>
      </c>
      <c r="K168">
        <f t="shared" si="8"/>
        <v>45</v>
      </c>
    </row>
    <row r="169" spans="5:11" ht="16" x14ac:dyDescent="0.45">
      <c r="E169" t="s">
        <v>998</v>
      </c>
      <c r="F169">
        <v>1</v>
      </c>
      <c r="G169">
        <v>60</v>
      </c>
      <c r="H169" s="8">
        <f t="shared" si="6"/>
        <v>60</v>
      </c>
      <c r="I169">
        <v>46</v>
      </c>
      <c r="J169" s="23">
        <f t="shared" si="7"/>
        <v>46</v>
      </c>
      <c r="K169">
        <f t="shared" si="8"/>
        <v>14</v>
      </c>
    </row>
    <row r="170" spans="5:11" ht="16" x14ac:dyDescent="0.45">
      <c r="E170" t="s">
        <v>960</v>
      </c>
      <c r="F170">
        <v>1</v>
      </c>
      <c r="G170">
        <v>25</v>
      </c>
      <c r="H170" s="8">
        <f t="shared" si="6"/>
        <v>25</v>
      </c>
      <c r="I170">
        <v>17</v>
      </c>
      <c r="J170" s="23">
        <f t="shared" si="7"/>
        <v>17</v>
      </c>
      <c r="K170">
        <f t="shared" si="8"/>
        <v>8</v>
      </c>
    </row>
    <row r="171" spans="5:11" ht="16" x14ac:dyDescent="0.45">
      <c r="E171" t="s">
        <v>999</v>
      </c>
      <c r="F171">
        <v>1</v>
      </c>
      <c r="G171">
        <v>10</v>
      </c>
      <c r="H171" s="8">
        <f t="shared" si="6"/>
        <v>10</v>
      </c>
      <c r="I171">
        <v>1.3</v>
      </c>
      <c r="J171" s="23">
        <f t="shared" si="7"/>
        <v>1.3</v>
      </c>
      <c r="K171">
        <f t="shared" si="8"/>
        <v>8.6999999999999993</v>
      </c>
    </row>
    <row r="172" spans="5:11" ht="16" x14ac:dyDescent="0.45">
      <c r="E172" t="s">
        <v>1000</v>
      </c>
      <c r="F172">
        <v>1</v>
      </c>
      <c r="G172">
        <v>280</v>
      </c>
      <c r="H172" s="8">
        <f t="shared" si="6"/>
        <v>280</v>
      </c>
      <c r="I172">
        <v>90</v>
      </c>
      <c r="J172" s="23">
        <f t="shared" si="7"/>
        <v>90</v>
      </c>
      <c r="K172">
        <f t="shared" si="8"/>
        <v>190</v>
      </c>
    </row>
    <row r="173" spans="5:11" ht="16" x14ac:dyDescent="0.45">
      <c r="E173" t="s">
        <v>1001</v>
      </c>
      <c r="F173">
        <v>1</v>
      </c>
      <c r="G173">
        <v>50</v>
      </c>
      <c r="H173" s="8">
        <f t="shared" si="6"/>
        <v>50</v>
      </c>
      <c r="I173">
        <v>25</v>
      </c>
      <c r="J173" s="23">
        <f t="shared" si="7"/>
        <v>25</v>
      </c>
      <c r="K173">
        <f t="shared" si="8"/>
        <v>25</v>
      </c>
    </row>
    <row r="174" spans="5:11" ht="16" x14ac:dyDescent="0.45">
      <c r="E174" t="s">
        <v>1002</v>
      </c>
      <c r="F174">
        <v>1</v>
      </c>
      <c r="G174">
        <v>50</v>
      </c>
      <c r="H174" s="8">
        <f t="shared" si="6"/>
        <v>50</v>
      </c>
      <c r="I174">
        <v>39</v>
      </c>
      <c r="J174" s="23">
        <f t="shared" si="7"/>
        <v>39</v>
      </c>
      <c r="K174">
        <f t="shared" si="8"/>
        <v>11</v>
      </c>
    </row>
    <row r="175" spans="5:11" ht="16" x14ac:dyDescent="0.45">
      <c r="E175" t="s">
        <v>933</v>
      </c>
      <c r="F175">
        <v>2</v>
      </c>
      <c r="G175">
        <v>5</v>
      </c>
      <c r="H175" s="8">
        <f t="shared" si="6"/>
        <v>10</v>
      </c>
      <c r="I175">
        <v>0.9</v>
      </c>
      <c r="J175" s="23">
        <f t="shared" si="7"/>
        <v>1.8</v>
      </c>
      <c r="K175">
        <f t="shared" si="8"/>
        <v>8.1999999999999993</v>
      </c>
    </row>
    <row r="176" spans="5:11" ht="16" x14ac:dyDescent="0.45">
      <c r="E176" t="s">
        <v>975</v>
      </c>
      <c r="F176">
        <v>1</v>
      </c>
      <c r="G176">
        <v>100</v>
      </c>
      <c r="H176" s="8">
        <f t="shared" si="6"/>
        <v>100</v>
      </c>
      <c r="I176">
        <v>50</v>
      </c>
      <c r="J176" s="23">
        <f t="shared" si="7"/>
        <v>50</v>
      </c>
      <c r="K176">
        <f t="shared" si="8"/>
        <v>50</v>
      </c>
    </row>
    <row r="177" spans="3:11" ht="16" x14ac:dyDescent="0.45">
      <c r="C177" t="s">
        <v>1003</v>
      </c>
      <c r="E177" t="s">
        <v>1004</v>
      </c>
      <c r="F177">
        <v>1</v>
      </c>
      <c r="G177">
        <v>30</v>
      </c>
      <c r="H177" s="8">
        <f t="shared" si="6"/>
        <v>30</v>
      </c>
      <c r="I177">
        <v>20</v>
      </c>
      <c r="J177" s="23">
        <f t="shared" si="7"/>
        <v>20</v>
      </c>
      <c r="K177">
        <f t="shared" si="8"/>
        <v>10</v>
      </c>
    </row>
    <row r="178" spans="3:11" ht="16" x14ac:dyDescent="0.45">
      <c r="E178" t="s">
        <v>1006</v>
      </c>
      <c r="F178">
        <v>1</v>
      </c>
      <c r="G178">
        <v>50</v>
      </c>
      <c r="H178" s="8">
        <f t="shared" si="6"/>
        <v>50</v>
      </c>
      <c r="I178">
        <v>50</v>
      </c>
      <c r="J178" s="23">
        <f t="shared" si="7"/>
        <v>50</v>
      </c>
      <c r="K178">
        <f t="shared" si="8"/>
        <v>0</v>
      </c>
    </row>
    <row r="179" spans="3:11" ht="16" x14ac:dyDescent="0.45">
      <c r="E179" t="s">
        <v>1007</v>
      </c>
      <c r="F179">
        <v>1</v>
      </c>
      <c r="G179">
        <v>50</v>
      </c>
      <c r="H179" s="8">
        <f t="shared" si="6"/>
        <v>50</v>
      </c>
      <c r="I179">
        <v>25</v>
      </c>
      <c r="J179" s="23">
        <f t="shared" si="7"/>
        <v>25</v>
      </c>
      <c r="K179">
        <f t="shared" si="8"/>
        <v>25</v>
      </c>
    </row>
    <row r="180" spans="3:11" ht="16" x14ac:dyDescent="0.45">
      <c r="E180" t="s">
        <v>993</v>
      </c>
      <c r="F180">
        <v>1</v>
      </c>
      <c r="G180">
        <v>50</v>
      </c>
      <c r="H180" s="8">
        <f t="shared" si="6"/>
        <v>50</v>
      </c>
      <c r="I180">
        <v>25</v>
      </c>
      <c r="J180" s="23">
        <f t="shared" si="7"/>
        <v>25</v>
      </c>
      <c r="K180">
        <f t="shared" si="8"/>
        <v>25</v>
      </c>
    </row>
    <row r="181" spans="3:11" ht="16" x14ac:dyDescent="0.45">
      <c r="E181" t="s">
        <v>968</v>
      </c>
      <c r="F181">
        <v>10</v>
      </c>
      <c r="G181">
        <v>4</v>
      </c>
      <c r="H181" s="8">
        <f t="shared" si="6"/>
        <v>40</v>
      </c>
      <c r="I181">
        <v>0.7</v>
      </c>
      <c r="J181" s="23">
        <f t="shared" si="7"/>
        <v>7</v>
      </c>
      <c r="K181">
        <f t="shared" si="8"/>
        <v>33</v>
      </c>
    </row>
    <row r="182" spans="3:11" ht="16" x14ac:dyDescent="0.45">
      <c r="E182" t="s">
        <v>938</v>
      </c>
      <c r="F182">
        <v>1</v>
      </c>
      <c r="G182">
        <v>15</v>
      </c>
      <c r="H182" s="8">
        <f t="shared" si="6"/>
        <v>15</v>
      </c>
      <c r="I182">
        <v>10</v>
      </c>
      <c r="J182" s="23">
        <f t="shared" si="7"/>
        <v>10</v>
      </c>
      <c r="K182">
        <f t="shared" si="8"/>
        <v>5</v>
      </c>
    </row>
    <row r="183" spans="3:11" ht="16" x14ac:dyDescent="0.45">
      <c r="E183" t="s">
        <v>933</v>
      </c>
      <c r="F183">
        <v>2</v>
      </c>
      <c r="G183">
        <v>10</v>
      </c>
      <c r="H183" s="8">
        <f t="shared" si="6"/>
        <v>20</v>
      </c>
      <c r="I183">
        <v>0.9</v>
      </c>
      <c r="J183" s="23">
        <f t="shared" si="7"/>
        <v>1.8</v>
      </c>
      <c r="K183">
        <f t="shared" si="8"/>
        <v>18.2</v>
      </c>
    </row>
    <row r="184" spans="3:11" ht="16" x14ac:dyDescent="0.45">
      <c r="E184" t="s">
        <v>950</v>
      </c>
      <c r="F184">
        <v>1</v>
      </c>
      <c r="G184">
        <v>10</v>
      </c>
      <c r="H184" s="8">
        <f t="shared" si="6"/>
        <v>10</v>
      </c>
      <c r="I184">
        <v>7</v>
      </c>
      <c r="J184" s="23">
        <f t="shared" si="7"/>
        <v>7</v>
      </c>
      <c r="K184">
        <f t="shared" si="8"/>
        <v>3</v>
      </c>
    </row>
    <row r="185" spans="3:11" ht="16" x14ac:dyDescent="0.45">
      <c r="E185" t="s">
        <v>933</v>
      </c>
      <c r="F185">
        <v>1</v>
      </c>
      <c r="G185">
        <v>5</v>
      </c>
      <c r="H185" s="8">
        <f t="shared" si="6"/>
        <v>5</v>
      </c>
      <c r="I185">
        <v>0.9</v>
      </c>
      <c r="J185" s="23">
        <f t="shared" si="7"/>
        <v>0.9</v>
      </c>
      <c r="K185">
        <f t="shared" si="8"/>
        <v>4.0999999999999996</v>
      </c>
    </row>
    <row r="186" spans="3:11" ht="16" x14ac:dyDescent="0.45">
      <c r="E186" t="s">
        <v>956</v>
      </c>
      <c r="F186">
        <v>2</v>
      </c>
      <c r="G186">
        <v>10</v>
      </c>
      <c r="H186" s="8">
        <f t="shared" si="6"/>
        <v>20</v>
      </c>
      <c r="I186">
        <v>6</v>
      </c>
      <c r="J186" s="23">
        <f t="shared" si="7"/>
        <v>12</v>
      </c>
      <c r="K186">
        <f t="shared" si="8"/>
        <v>8</v>
      </c>
    </row>
    <row r="187" spans="3:11" ht="16" x14ac:dyDescent="0.45">
      <c r="E187" t="s">
        <v>951</v>
      </c>
      <c r="F187">
        <v>4</v>
      </c>
      <c r="G187">
        <v>15</v>
      </c>
      <c r="H187" s="8">
        <f t="shared" si="6"/>
        <v>60</v>
      </c>
      <c r="I187">
        <v>8</v>
      </c>
      <c r="J187" s="23">
        <f t="shared" si="7"/>
        <v>32</v>
      </c>
      <c r="K187">
        <f t="shared" si="8"/>
        <v>28</v>
      </c>
    </row>
    <row r="188" spans="3:11" ht="16" x14ac:dyDescent="0.45">
      <c r="E188" t="s">
        <v>971</v>
      </c>
      <c r="F188">
        <v>1</v>
      </c>
      <c r="G188">
        <v>100</v>
      </c>
      <c r="H188" s="8">
        <f t="shared" si="6"/>
        <v>100</v>
      </c>
      <c r="I188">
        <v>55</v>
      </c>
      <c r="J188" s="23">
        <f t="shared" si="7"/>
        <v>55</v>
      </c>
      <c r="K188">
        <f t="shared" si="8"/>
        <v>45</v>
      </c>
    </row>
    <row r="189" spans="3:11" ht="16" x14ac:dyDescent="0.45">
      <c r="E189" t="s">
        <v>934</v>
      </c>
      <c r="F189">
        <v>1</v>
      </c>
      <c r="G189">
        <v>100</v>
      </c>
      <c r="H189" s="8">
        <f t="shared" si="6"/>
        <v>100</v>
      </c>
      <c r="I189">
        <v>50</v>
      </c>
      <c r="J189" s="23">
        <f t="shared" si="7"/>
        <v>50</v>
      </c>
      <c r="K189">
        <f t="shared" si="8"/>
        <v>50</v>
      </c>
    </row>
    <row r="190" spans="3:11" ht="16" x14ac:dyDescent="0.45">
      <c r="E190" t="s">
        <v>1008</v>
      </c>
      <c r="F190">
        <v>1</v>
      </c>
      <c r="G190">
        <v>100</v>
      </c>
      <c r="H190" s="8">
        <f t="shared" si="6"/>
        <v>100</v>
      </c>
      <c r="I190">
        <v>48</v>
      </c>
      <c r="J190" s="23">
        <f t="shared" si="7"/>
        <v>48</v>
      </c>
      <c r="K190">
        <f t="shared" si="8"/>
        <v>52</v>
      </c>
    </row>
    <row r="191" spans="3:11" ht="16" x14ac:dyDescent="0.45">
      <c r="E191" t="s">
        <v>1006</v>
      </c>
      <c r="F191">
        <v>1</v>
      </c>
      <c r="G191">
        <v>100</v>
      </c>
      <c r="H191" s="8">
        <f t="shared" si="6"/>
        <v>100</v>
      </c>
      <c r="I191">
        <v>48</v>
      </c>
      <c r="J191" s="23">
        <f t="shared" si="7"/>
        <v>48</v>
      </c>
      <c r="K191">
        <f t="shared" si="8"/>
        <v>52</v>
      </c>
    </row>
    <row r="192" spans="3:11" ht="16" x14ac:dyDescent="0.45">
      <c r="E192" t="s">
        <v>934</v>
      </c>
      <c r="F192">
        <v>1</v>
      </c>
      <c r="G192">
        <v>100</v>
      </c>
      <c r="H192" s="8">
        <f t="shared" si="6"/>
        <v>100</v>
      </c>
      <c r="I192">
        <v>50</v>
      </c>
      <c r="J192" s="23">
        <f t="shared" si="7"/>
        <v>50</v>
      </c>
      <c r="K192">
        <f t="shared" si="8"/>
        <v>50</v>
      </c>
    </row>
    <row r="193" spans="3:11" ht="16" x14ac:dyDescent="0.45">
      <c r="C193" t="s">
        <v>1009</v>
      </c>
      <c r="E193" t="s">
        <v>1010</v>
      </c>
      <c r="F193">
        <v>1</v>
      </c>
      <c r="G193">
        <v>150</v>
      </c>
      <c r="H193" s="8">
        <f t="shared" si="6"/>
        <v>150</v>
      </c>
      <c r="I193">
        <v>55</v>
      </c>
      <c r="J193" s="23">
        <f t="shared" si="7"/>
        <v>55</v>
      </c>
      <c r="K193">
        <f t="shared" si="8"/>
        <v>95</v>
      </c>
    </row>
    <row r="194" spans="3:11" ht="16" x14ac:dyDescent="0.45">
      <c r="E194" t="s">
        <v>1001</v>
      </c>
      <c r="F194">
        <v>1</v>
      </c>
      <c r="G194">
        <v>50</v>
      </c>
      <c r="H194" s="8">
        <f t="shared" si="6"/>
        <v>50</v>
      </c>
      <c r="I194">
        <v>25</v>
      </c>
      <c r="J194" s="23">
        <f t="shared" si="7"/>
        <v>25</v>
      </c>
      <c r="K194">
        <f t="shared" si="8"/>
        <v>25</v>
      </c>
    </row>
    <row r="195" spans="3:11" ht="16" x14ac:dyDescent="0.45">
      <c r="E195" t="s">
        <v>934</v>
      </c>
      <c r="F195">
        <v>1</v>
      </c>
      <c r="G195">
        <v>100</v>
      </c>
      <c r="H195" s="8">
        <f t="shared" si="6"/>
        <v>100</v>
      </c>
      <c r="I195">
        <v>50</v>
      </c>
      <c r="J195" s="23">
        <f t="shared" si="7"/>
        <v>50</v>
      </c>
      <c r="K195">
        <f t="shared" si="8"/>
        <v>50</v>
      </c>
    </row>
    <row r="196" spans="3:11" ht="16" x14ac:dyDescent="0.45">
      <c r="E196" t="s">
        <v>935</v>
      </c>
      <c r="F196">
        <v>5</v>
      </c>
      <c r="G196">
        <v>2</v>
      </c>
      <c r="H196" s="8">
        <f t="shared" si="6"/>
        <v>10</v>
      </c>
      <c r="I196">
        <v>1.3</v>
      </c>
      <c r="J196" s="23">
        <f t="shared" si="7"/>
        <v>6.5</v>
      </c>
      <c r="K196">
        <f t="shared" si="8"/>
        <v>3.5</v>
      </c>
    </row>
    <row r="197" spans="3:11" ht="16" x14ac:dyDescent="0.45">
      <c r="E197" t="s">
        <v>1011</v>
      </c>
      <c r="F197">
        <v>1</v>
      </c>
      <c r="G197">
        <v>220</v>
      </c>
      <c r="H197" s="8">
        <f t="shared" si="6"/>
        <v>220</v>
      </c>
      <c r="I197">
        <v>136</v>
      </c>
      <c r="J197" s="23">
        <f t="shared" si="7"/>
        <v>136</v>
      </c>
      <c r="K197">
        <f t="shared" si="8"/>
        <v>84</v>
      </c>
    </row>
    <row r="198" spans="3:11" ht="16" x14ac:dyDescent="0.45">
      <c r="E198" t="s">
        <v>952</v>
      </c>
      <c r="F198">
        <v>10</v>
      </c>
      <c r="G198">
        <v>5</v>
      </c>
      <c r="H198" s="8">
        <f t="shared" ref="H198:H261" si="9">F198*G198</f>
        <v>50</v>
      </c>
      <c r="I198">
        <v>0.9</v>
      </c>
      <c r="J198" s="23">
        <f t="shared" ref="J198:J261" si="10">F198*I198</f>
        <v>9</v>
      </c>
      <c r="K198">
        <f t="shared" ref="K198:K261" si="11">H198-J198</f>
        <v>41</v>
      </c>
    </row>
    <row r="199" spans="3:11" ht="16" x14ac:dyDescent="0.45">
      <c r="E199" t="s">
        <v>1012</v>
      </c>
      <c r="F199">
        <v>1</v>
      </c>
      <c r="G199">
        <v>20</v>
      </c>
      <c r="H199" s="8">
        <f t="shared" si="9"/>
        <v>20</v>
      </c>
      <c r="I199">
        <v>14</v>
      </c>
      <c r="J199" s="23">
        <f t="shared" si="10"/>
        <v>14</v>
      </c>
      <c r="K199">
        <f t="shared" si="11"/>
        <v>6</v>
      </c>
    </row>
    <row r="200" spans="3:11" ht="16" x14ac:dyDescent="0.45">
      <c r="E200" t="s">
        <v>977</v>
      </c>
      <c r="F200">
        <v>1</v>
      </c>
      <c r="G200">
        <v>200</v>
      </c>
      <c r="H200" s="8">
        <f t="shared" si="9"/>
        <v>200</v>
      </c>
      <c r="I200">
        <v>165</v>
      </c>
      <c r="J200" s="23">
        <f t="shared" si="10"/>
        <v>165</v>
      </c>
      <c r="K200">
        <f t="shared" si="11"/>
        <v>35</v>
      </c>
    </row>
    <row r="201" spans="3:11" ht="16" x14ac:dyDescent="0.45">
      <c r="E201" t="s">
        <v>991</v>
      </c>
      <c r="F201">
        <v>1</v>
      </c>
      <c r="G201">
        <v>20</v>
      </c>
      <c r="H201" s="23">
        <f t="shared" si="9"/>
        <v>20</v>
      </c>
      <c r="I201">
        <v>16</v>
      </c>
      <c r="J201" s="23">
        <f t="shared" si="10"/>
        <v>16</v>
      </c>
      <c r="K201">
        <f t="shared" si="11"/>
        <v>4</v>
      </c>
    </row>
    <row r="202" spans="3:11" ht="16" x14ac:dyDescent="0.45">
      <c r="E202" t="s">
        <v>1013</v>
      </c>
      <c r="F202">
        <v>1</v>
      </c>
      <c r="G202">
        <v>100</v>
      </c>
      <c r="H202" s="23">
        <f t="shared" si="9"/>
        <v>100</v>
      </c>
      <c r="I202">
        <v>50</v>
      </c>
      <c r="J202" s="23">
        <f t="shared" si="10"/>
        <v>50</v>
      </c>
      <c r="K202">
        <f t="shared" si="11"/>
        <v>50</v>
      </c>
    </row>
    <row r="203" spans="3:11" ht="16" x14ac:dyDescent="0.45">
      <c r="E203" t="s">
        <v>960</v>
      </c>
      <c r="F203">
        <v>1</v>
      </c>
      <c r="G203">
        <v>25</v>
      </c>
      <c r="H203" s="23">
        <f t="shared" si="9"/>
        <v>25</v>
      </c>
      <c r="I203">
        <v>17</v>
      </c>
      <c r="J203" s="23">
        <f t="shared" si="10"/>
        <v>17</v>
      </c>
      <c r="K203">
        <f t="shared" si="11"/>
        <v>8</v>
      </c>
    </row>
    <row r="204" spans="3:11" ht="16" x14ac:dyDescent="0.45">
      <c r="E204" t="s">
        <v>933</v>
      </c>
      <c r="F204">
        <v>2</v>
      </c>
      <c r="G204">
        <v>5</v>
      </c>
      <c r="H204" s="23">
        <f t="shared" si="9"/>
        <v>10</v>
      </c>
      <c r="I204">
        <v>0.9</v>
      </c>
      <c r="J204" s="23">
        <f t="shared" si="10"/>
        <v>1.8</v>
      </c>
      <c r="K204">
        <f t="shared" si="11"/>
        <v>8.1999999999999993</v>
      </c>
    </row>
    <row r="205" spans="3:11" ht="16" x14ac:dyDescent="0.45">
      <c r="E205" t="s">
        <v>991</v>
      </c>
      <c r="F205">
        <v>1</v>
      </c>
      <c r="G205">
        <v>20</v>
      </c>
      <c r="H205" s="23">
        <f t="shared" si="9"/>
        <v>20</v>
      </c>
      <c r="I205">
        <v>16</v>
      </c>
      <c r="J205" s="23">
        <f t="shared" si="10"/>
        <v>16</v>
      </c>
      <c r="K205">
        <f t="shared" si="11"/>
        <v>4</v>
      </c>
    </row>
    <row r="206" spans="3:11" ht="16" x14ac:dyDescent="0.45">
      <c r="E206" t="s">
        <v>934</v>
      </c>
      <c r="F206">
        <v>1</v>
      </c>
      <c r="G206">
        <v>100</v>
      </c>
      <c r="H206" s="23">
        <f t="shared" si="9"/>
        <v>100</v>
      </c>
      <c r="I206">
        <v>50</v>
      </c>
      <c r="J206" s="23">
        <f t="shared" si="10"/>
        <v>50</v>
      </c>
      <c r="K206">
        <f t="shared" si="11"/>
        <v>50</v>
      </c>
    </row>
    <row r="207" spans="3:11" ht="16" x14ac:dyDescent="0.45">
      <c r="E207" t="s">
        <v>951</v>
      </c>
      <c r="F207">
        <v>5</v>
      </c>
      <c r="G207">
        <v>10</v>
      </c>
      <c r="H207" s="23">
        <f t="shared" si="9"/>
        <v>50</v>
      </c>
      <c r="I207">
        <v>8</v>
      </c>
      <c r="J207" s="23">
        <f t="shared" si="10"/>
        <v>40</v>
      </c>
      <c r="K207">
        <f t="shared" si="11"/>
        <v>10</v>
      </c>
    </row>
    <row r="208" spans="3:11" ht="16" x14ac:dyDescent="0.45">
      <c r="E208" t="s">
        <v>944</v>
      </c>
      <c r="F208">
        <v>5</v>
      </c>
      <c r="G208">
        <v>2</v>
      </c>
      <c r="H208" s="23">
        <f t="shared" si="9"/>
        <v>10</v>
      </c>
      <c r="I208">
        <v>0.9</v>
      </c>
      <c r="J208" s="23">
        <f t="shared" si="10"/>
        <v>4.5</v>
      </c>
      <c r="K208">
        <f t="shared" si="11"/>
        <v>5.5</v>
      </c>
    </row>
    <row r="209" spans="3:11" ht="16" x14ac:dyDescent="0.45">
      <c r="E209" t="s">
        <v>956</v>
      </c>
      <c r="F209">
        <v>1</v>
      </c>
      <c r="G209">
        <v>10</v>
      </c>
      <c r="H209" s="23">
        <f t="shared" si="9"/>
        <v>10</v>
      </c>
      <c r="I209">
        <v>6</v>
      </c>
      <c r="J209" s="23">
        <f t="shared" si="10"/>
        <v>6</v>
      </c>
      <c r="K209">
        <f t="shared" si="11"/>
        <v>4</v>
      </c>
    </row>
    <row r="210" spans="3:11" ht="16" x14ac:dyDescent="0.45">
      <c r="E210" t="s">
        <v>939</v>
      </c>
      <c r="F210">
        <v>1</v>
      </c>
      <c r="G210">
        <v>50</v>
      </c>
      <c r="H210" s="23">
        <f t="shared" si="9"/>
        <v>50</v>
      </c>
      <c r="I210">
        <v>25</v>
      </c>
      <c r="J210" s="23">
        <f t="shared" si="10"/>
        <v>25</v>
      </c>
      <c r="K210">
        <f t="shared" si="11"/>
        <v>25</v>
      </c>
    </row>
    <row r="211" spans="3:11" ht="16" x14ac:dyDescent="0.45">
      <c r="C211" t="s">
        <v>1014</v>
      </c>
      <c r="E211" t="s">
        <v>1015</v>
      </c>
      <c r="F211">
        <v>1</v>
      </c>
      <c r="G211">
        <v>300</v>
      </c>
      <c r="H211" s="23">
        <f t="shared" si="9"/>
        <v>300</v>
      </c>
      <c r="I211">
        <v>155</v>
      </c>
      <c r="J211" s="23">
        <f t="shared" si="10"/>
        <v>155</v>
      </c>
      <c r="K211">
        <f t="shared" si="11"/>
        <v>145</v>
      </c>
    </row>
    <row r="212" spans="3:11" ht="16" x14ac:dyDescent="0.45">
      <c r="E212" t="s">
        <v>1016</v>
      </c>
      <c r="F212">
        <v>3</v>
      </c>
      <c r="G212">
        <v>50</v>
      </c>
      <c r="H212" s="23">
        <f t="shared" si="9"/>
        <v>150</v>
      </c>
      <c r="I212">
        <v>10</v>
      </c>
      <c r="J212" s="23">
        <f t="shared" si="10"/>
        <v>30</v>
      </c>
      <c r="K212">
        <f t="shared" si="11"/>
        <v>120</v>
      </c>
    </row>
    <row r="213" spans="3:11" ht="16" x14ac:dyDescent="0.45">
      <c r="E213" t="s">
        <v>958</v>
      </c>
      <c r="F213">
        <v>4</v>
      </c>
      <c r="G213">
        <v>5</v>
      </c>
      <c r="H213" s="23">
        <f t="shared" si="9"/>
        <v>20</v>
      </c>
      <c r="I213">
        <v>1.9</v>
      </c>
      <c r="J213" s="23">
        <f t="shared" si="10"/>
        <v>7.6</v>
      </c>
      <c r="K213">
        <f t="shared" si="11"/>
        <v>12.4</v>
      </c>
    </row>
    <row r="214" spans="3:11" ht="16" x14ac:dyDescent="0.45">
      <c r="E214" t="s">
        <v>1017</v>
      </c>
      <c r="F214">
        <v>1</v>
      </c>
      <c r="G214">
        <v>50</v>
      </c>
      <c r="H214" s="23">
        <f t="shared" si="9"/>
        <v>50</v>
      </c>
      <c r="I214">
        <v>25</v>
      </c>
      <c r="J214" s="23">
        <f t="shared" si="10"/>
        <v>25</v>
      </c>
      <c r="K214">
        <f t="shared" si="11"/>
        <v>25</v>
      </c>
    </row>
    <row r="215" spans="3:11" ht="16" x14ac:dyDescent="0.45">
      <c r="E215" t="s">
        <v>1018</v>
      </c>
      <c r="F215">
        <v>10</v>
      </c>
      <c r="G215">
        <v>1</v>
      </c>
      <c r="H215" s="23">
        <f t="shared" si="9"/>
        <v>10</v>
      </c>
      <c r="I215">
        <v>0.35</v>
      </c>
      <c r="J215" s="23">
        <f t="shared" si="10"/>
        <v>3.5</v>
      </c>
      <c r="K215">
        <f t="shared" si="11"/>
        <v>6.5</v>
      </c>
    </row>
    <row r="216" spans="3:11" ht="16" x14ac:dyDescent="0.45">
      <c r="E216" t="s">
        <v>1019</v>
      </c>
      <c r="F216">
        <v>1</v>
      </c>
      <c r="G216">
        <v>100</v>
      </c>
      <c r="H216" s="23">
        <f t="shared" si="9"/>
        <v>100</v>
      </c>
      <c r="I216">
        <v>50</v>
      </c>
      <c r="J216" s="23">
        <f t="shared" si="10"/>
        <v>50</v>
      </c>
      <c r="K216">
        <f t="shared" si="11"/>
        <v>50</v>
      </c>
    </row>
    <row r="217" spans="3:11" ht="16" x14ac:dyDescent="0.45">
      <c r="E217" t="s">
        <v>973</v>
      </c>
      <c r="F217">
        <v>1</v>
      </c>
      <c r="G217">
        <v>50</v>
      </c>
      <c r="H217" s="23">
        <f t="shared" si="9"/>
        <v>50</v>
      </c>
      <c r="I217">
        <v>10</v>
      </c>
      <c r="J217" s="23">
        <f t="shared" si="10"/>
        <v>10</v>
      </c>
      <c r="K217">
        <f t="shared" si="11"/>
        <v>40</v>
      </c>
    </row>
    <row r="218" spans="3:11" ht="16" x14ac:dyDescent="0.45">
      <c r="E218" t="s">
        <v>949</v>
      </c>
      <c r="F218">
        <v>2</v>
      </c>
      <c r="G218">
        <v>25</v>
      </c>
      <c r="H218" s="23">
        <f t="shared" si="9"/>
        <v>50</v>
      </c>
      <c r="I218">
        <v>10.5</v>
      </c>
      <c r="J218" s="23">
        <f t="shared" si="10"/>
        <v>21</v>
      </c>
      <c r="K218">
        <f t="shared" si="11"/>
        <v>29</v>
      </c>
    </row>
    <row r="219" spans="3:11" ht="16" x14ac:dyDescent="0.45">
      <c r="E219" t="s">
        <v>991</v>
      </c>
      <c r="F219">
        <v>1</v>
      </c>
      <c r="G219">
        <v>20</v>
      </c>
      <c r="H219" s="23">
        <f t="shared" si="9"/>
        <v>20</v>
      </c>
      <c r="I219">
        <v>16</v>
      </c>
      <c r="J219" s="23">
        <f t="shared" si="10"/>
        <v>16</v>
      </c>
      <c r="K219">
        <f t="shared" si="11"/>
        <v>4</v>
      </c>
    </row>
    <row r="220" spans="3:11" ht="16" x14ac:dyDescent="0.45">
      <c r="E220" t="s">
        <v>935</v>
      </c>
      <c r="F220">
        <v>20</v>
      </c>
      <c r="G220">
        <v>2</v>
      </c>
      <c r="H220" s="23">
        <f t="shared" si="9"/>
        <v>40</v>
      </c>
      <c r="I220">
        <v>1.3</v>
      </c>
      <c r="J220" s="23">
        <f t="shared" si="10"/>
        <v>26</v>
      </c>
      <c r="K220">
        <f t="shared" si="11"/>
        <v>14</v>
      </c>
    </row>
    <row r="221" spans="3:11" ht="16" x14ac:dyDescent="0.45">
      <c r="C221" t="s">
        <v>1021</v>
      </c>
      <c r="E221" t="s">
        <v>944</v>
      </c>
      <c r="F221">
        <v>10</v>
      </c>
      <c r="G221">
        <v>2</v>
      </c>
      <c r="H221" s="23">
        <f t="shared" si="9"/>
        <v>20</v>
      </c>
      <c r="I221">
        <v>0.9</v>
      </c>
      <c r="J221" s="23">
        <f t="shared" si="10"/>
        <v>9</v>
      </c>
      <c r="K221">
        <f t="shared" si="11"/>
        <v>11</v>
      </c>
    </row>
    <row r="222" spans="3:11" ht="16" x14ac:dyDescent="0.45">
      <c r="E222" t="s">
        <v>1022</v>
      </c>
      <c r="F222">
        <v>1</v>
      </c>
      <c r="G222">
        <v>50</v>
      </c>
      <c r="H222" s="23">
        <f t="shared" si="9"/>
        <v>50</v>
      </c>
      <c r="I222">
        <v>22</v>
      </c>
      <c r="J222" s="23">
        <f t="shared" si="10"/>
        <v>22</v>
      </c>
      <c r="K222">
        <f t="shared" si="11"/>
        <v>28</v>
      </c>
    </row>
    <row r="223" spans="3:11" ht="16" x14ac:dyDescent="0.45">
      <c r="E223" t="s">
        <v>977</v>
      </c>
      <c r="F223">
        <v>1</v>
      </c>
      <c r="G223">
        <v>200</v>
      </c>
      <c r="H223" s="23">
        <f t="shared" si="9"/>
        <v>200</v>
      </c>
      <c r="I223">
        <v>165</v>
      </c>
      <c r="J223" s="23">
        <f t="shared" si="10"/>
        <v>165</v>
      </c>
      <c r="K223">
        <f t="shared" si="11"/>
        <v>35</v>
      </c>
    </row>
    <row r="224" spans="3:11" ht="16" x14ac:dyDescent="0.45">
      <c r="E224" t="s">
        <v>993</v>
      </c>
      <c r="F224">
        <v>1</v>
      </c>
      <c r="G224">
        <v>50</v>
      </c>
      <c r="H224" s="23">
        <f t="shared" si="9"/>
        <v>50</v>
      </c>
      <c r="I224">
        <v>25</v>
      </c>
      <c r="J224" s="23">
        <f t="shared" si="10"/>
        <v>25</v>
      </c>
      <c r="K224">
        <f t="shared" si="11"/>
        <v>25</v>
      </c>
    </row>
    <row r="225" spans="3:11" ht="16" x14ac:dyDescent="0.45">
      <c r="E225" t="s">
        <v>1026</v>
      </c>
      <c r="F225">
        <v>1</v>
      </c>
      <c r="G225">
        <v>10</v>
      </c>
      <c r="H225" s="23">
        <f t="shared" si="9"/>
        <v>10</v>
      </c>
      <c r="I225">
        <v>0.9</v>
      </c>
      <c r="J225" s="23">
        <f t="shared" si="10"/>
        <v>0.9</v>
      </c>
      <c r="K225">
        <f t="shared" si="11"/>
        <v>9.1</v>
      </c>
    </row>
    <row r="226" spans="3:11" ht="16" x14ac:dyDescent="0.45">
      <c r="E226" t="s">
        <v>950</v>
      </c>
      <c r="F226">
        <v>1</v>
      </c>
      <c r="G226">
        <v>10</v>
      </c>
      <c r="H226" s="23">
        <f t="shared" si="9"/>
        <v>10</v>
      </c>
      <c r="I226">
        <v>7</v>
      </c>
      <c r="J226" s="23">
        <f t="shared" si="10"/>
        <v>7</v>
      </c>
      <c r="K226">
        <f t="shared" si="11"/>
        <v>3</v>
      </c>
    </row>
    <row r="227" spans="3:11" ht="16" x14ac:dyDescent="0.45">
      <c r="E227" t="s">
        <v>977</v>
      </c>
      <c r="F227">
        <v>1</v>
      </c>
      <c r="G227">
        <v>200</v>
      </c>
      <c r="H227" s="23">
        <f t="shared" si="9"/>
        <v>200</v>
      </c>
      <c r="I227">
        <v>165</v>
      </c>
      <c r="J227" s="23">
        <f t="shared" si="10"/>
        <v>165</v>
      </c>
      <c r="K227">
        <f t="shared" si="11"/>
        <v>35</v>
      </c>
    </row>
    <row r="228" spans="3:11" ht="16" x14ac:dyDescent="0.45">
      <c r="C228" t="s">
        <v>1027</v>
      </c>
      <c r="E228" t="s">
        <v>938</v>
      </c>
      <c r="F228">
        <v>2</v>
      </c>
      <c r="G228">
        <v>15</v>
      </c>
      <c r="H228" s="23">
        <f t="shared" si="9"/>
        <v>30</v>
      </c>
      <c r="I228">
        <v>10</v>
      </c>
      <c r="J228" s="23">
        <f t="shared" si="10"/>
        <v>20</v>
      </c>
      <c r="K228">
        <f t="shared" si="11"/>
        <v>10</v>
      </c>
    </row>
    <row r="229" spans="3:11" ht="16" x14ac:dyDescent="0.45">
      <c r="E229" t="s">
        <v>1028</v>
      </c>
      <c r="F229">
        <v>1</v>
      </c>
      <c r="G229">
        <v>100</v>
      </c>
      <c r="H229" s="23">
        <f t="shared" si="9"/>
        <v>100</v>
      </c>
      <c r="I229">
        <v>55</v>
      </c>
      <c r="J229" s="23">
        <f t="shared" si="10"/>
        <v>55</v>
      </c>
      <c r="K229">
        <f t="shared" si="11"/>
        <v>45</v>
      </c>
    </row>
    <row r="230" spans="3:11" ht="16" x14ac:dyDescent="0.45">
      <c r="E230" t="s">
        <v>987</v>
      </c>
      <c r="F230">
        <v>1</v>
      </c>
      <c r="G230">
        <v>100</v>
      </c>
      <c r="H230" s="23">
        <f t="shared" si="9"/>
        <v>100</v>
      </c>
      <c r="I230">
        <v>22</v>
      </c>
      <c r="J230" s="23">
        <f t="shared" si="10"/>
        <v>22</v>
      </c>
      <c r="K230">
        <f t="shared" si="11"/>
        <v>78</v>
      </c>
    </row>
    <row r="231" spans="3:11" ht="16" x14ac:dyDescent="0.45">
      <c r="E231" t="s">
        <v>988</v>
      </c>
      <c r="F231">
        <v>1</v>
      </c>
      <c r="G231">
        <v>120</v>
      </c>
      <c r="H231" s="23">
        <f t="shared" si="9"/>
        <v>120</v>
      </c>
      <c r="I231">
        <v>100</v>
      </c>
      <c r="J231" s="23">
        <f t="shared" si="10"/>
        <v>100</v>
      </c>
      <c r="K231">
        <f t="shared" si="11"/>
        <v>20</v>
      </c>
    </row>
    <row r="232" spans="3:11" ht="16" x14ac:dyDescent="0.45">
      <c r="E232" t="s">
        <v>1018</v>
      </c>
      <c r="F232">
        <v>10</v>
      </c>
      <c r="G232">
        <v>2</v>
      </c>
      <c r="H232" s="23">
        <f t="shared" si="9"/>
        <v>20</v>
      </c>
      <c r="I232">
        <v>0.35</v>
      </c>
      <c r="J232" s="23">
        <f t="shared" si="10"/>
        <v>3.5</v>
      </c>
      <c r="K232">
        <f t="shared" si="11"/>
        <v>16.5</v>
      </c>
    </row>
    <row r="233" spans="3:11" ht="16" x14ac:dyDescent="0.45">
      <c r="E233" t="s">
        <v>951</v>
      </c>
      <c r="F233">
        <v>1</v>
      </c>
      <c r="G233">
        <v>20</v>
      </c>
      <c r="H233" s="23">
        <f t="shared" si="9"/>
        <v>20</v>
      </c>
      <c r="I233">
        <v>8</v>
      </c>
      <c r="J233" s="23">
        <f t="shared" si="10"/>
        <v>8</v>
      </c>
      <c r="K233">
        <f t="shared" si="11"/>
        <v>12</v>
      </c>
    </row>
    <row r="234" spans="3:11" ht="16" x14ac:dyDescent="0.45">
      <c r="E234" t="s">
        <v>938</v>
      </c>
      <c r="F234">
        <v>4</v>
      </c>
      <c r="G234">
        <v>15</v>
      </c>
      <c r="H234" s="23">
        <f t="shared" si="9"/>
        <v>60</v>
      </c>
      <c r="I234">
        <v>10</v>
      </c>
      <c r="J234" s="23">
        <f t="shared" si="10"/>
        <v>40</v>
      </c>
      <c r="K234">
        <f t="shared" si="11"/>
        <v>20</v>
      </c>
    </row>
    <row r="235" spans="3:11" ht="16" x14ac:dyDescent="0.45">
      <c r="E235" t="s">
        <v>964</v>
      </c>
      <c r="F235">
        <v>2</v>
      </c>
      <c r="G235">
        <v>10</v>
      </c>
      <c r="H235" s="23">
        <f t="shared" si="9"/>
        <v>20</v>
      </c>
      <c r="I235">
        <v>1.3</v>
      </c>
      <c r="J235" s="23">
        <f t="shared" si="10"/>
        <v>2.6</v>
      </c>
      <c r="K235">
        <f t="shared" si="11"/>
        <v>17.399999999999999</v>
      </c>
    </row>
    <row r="236" spans="3:11" ht="16" x14ac:dyDescent="0.45">
      <c r="E236" t="s">
        <v>973</v>
      </c>
      <c r="F236">
        <v>1</v>
      </c>
      <c r="G236">
        <v>50</v>
      </c>
      <c r="H236" s="23">
        <f t="shared" si="9"/>
        <v>50</v>
      </c>
      <c r="I236">
        <v>10</v>
      </c>
      <c r="J236" s="23">
        <f t="shared" si="10"/>
        <v>10</v>
      </c>
      <c r="K236">
        <f t="shared" si="11"/>
        <v>40</v>
      </c>
    </row>
    <row r="237" spans="3:11" ht="16" x14ac:dyDescent="0.45">
      <c r="C237" t="s">
        <v>1029</v>
      </c>
      <c r="E237" t="s">
        <v>1030</v>
      </c>
      <c r="F237">
        <v>1</v>
      </c>
      <c r="G237">
        <v>100</v>
      </c>
      <c r="H237" s="23">
        <f t="shared" si="9"/>
        <v>100</v>
      </c>
      <c r="I237">
        <v>0</v>
      </c>
      <c r="J237" s="23">
        <f t="shared" si="10"/>
        <v>0</v>
      </c>
      <c r="K237">
        <f t="shared" si="11"/>
        <v>100</v>
      </c>
    </row>
    <row r="238" spans="3:11" ht="16" x14ac:dyDescent="0.45">
      <c r="E238" t="s">
        <v>955</v>
      </c>
      <c r="F238">
        <v>2</v>
      </c>
      <c r="G238">
        <v>40</v>
      </c>
      <c r="H238" s="23">
        <f t="shared" si="9"/>
        <v>80</v>
      </c>
      <c r="I238">
        <v>12</v>
      </c>
      <c r="J238" s="23">
        <f t="shared" si="10"/>
        <v>24</v>
      </c>
      <c r="K238">
        <f t="shared" si="11"/>
        <v>56</v>
      </c>
    </row>
    <row r="239" spans="3:11" ht="16" x14ac:dyDescent="0.45">
      <c r="E239" t="s">
        <v>934</v>
      </c>
      <c r="F239">
        <v>1</v>
      </c>
      <c r="G239">
        <v>100</v>
      </c>
      <c r="H239" s="23">
        <f t="shared" si="9"/>
        <v>100</v>
      </c>
      <c r="I239">
        <v>50</v>
      </c>
      <c r="J239" s="23">
        <f t="shared" si="10"/>
        <v>50</v>
      </c>
      <c r="K239">
        <f t="shared" si="11"/>
        <v>50</v>
      </c>
    </row>
    <row r="240" spans="3:11" ht="16" x14ac:dyDescent="0.45">
      <c r="E240" t="s">
        <v>981</v>
      </c>
      <c r="F240">
        <v>4</v>
      </c>
      <c r="G240">
        <v>5</v>
      </c>
      <c r="H240" s="23">
        <f t="shared" si="9"/>
        <v>20</v>
      </c>
      <c r="I240">
        <v>0.65</v>
      </c>
      <c r="J240" s="23">
        <f t="shared" si="10"/>
        <v>2.6</v>
      </c>
      <c r="K240">
        <f t="shared" si="11"/>
        <v>17.399999999999999</v>
      </c>
    </row>
    <row r="241" spans="3:11" ht="16" x14ac:dyDescent="0.45">
      <c r="E241" t="s">
        <v>973</v>
      </c>
      <c r="F241">
        <v>1</v>
      </c>
      <c r="G241">
        <v>50</v>
      </c>
      <c r="H241" s="23">
        <f t="shared" si="9"/>
        <v>50</v>
      </c>
      <c r="I241">
        <v>10</v>
      </c>
      <c r="J241" s="23">
        <f t="shared" si="10"/>
        <v>10</v>
      </c>
      <c r="K241">
        <f t="shared" si="11"/>
        <v>40</v>
      </c>
    </row>
    <row r="242" spans="3:11" ht="16" x14ac:dyDescent="0.45">
      <c r="E242" t="s">
        <v>1031</v>
      </c>
      <c r="F242">
        <v>1</v>
      </c>
      <c r="G242">
        <v>100</v>
      </c>
      <c r="H242" s="23">
        <f t="shared" si="9"/>
        <v>100</v>
      </c>
      <c r="I242">
        <v>32</v>
      </c>
      <c r="J242" s="23">
        <f t="shared" si="10"/>
        <v>32</v>
      </c>
      <c r="K242">
        <f t="shared" si="11"/>
        <v>68</v>
      </c>
    </row>
    <row r="243" spans="3:11" ht="16" x14ac:dyDescent="0.45">
      <c r="E243" t="s">
        <v>1032</v>
      </c>
      <c r="F243">
        <v>1</v>
      </c>
      <c r="G243">
        <v>100</v>
      </c>
      <c r="H243" s="23">
        <f t="shared" si="9"/>
        <v>100</v>
      </c>
      <c r="I243">
        <v>55</v>
      </c>
      <c r="J243" s="23">
        <f t="shared" si="10"/>
        <v>55</v>
      </c>
      <c r="K243">
        <f t="shared" si="11"/>
        <v>45</v>
      </c>
    </row>
    <row r="244" spans="3:11" ht="16" x14ac:dyDescent="0.45">
      <c r="E244" t="s">
        <v>1012</v>
      </c>
      <c r="F244">
        <v>1</v>
      </c>
      <c r="G244">
        <v>20</v>
      </c>
      <c r="H244" s="23">
        <f t="shared" si="9"/>
        <v>20</v>
      </c>
      <c r="I244">
        <v>14</v>
      </c>
      <c r="J244" s="23">
        <f t="shared" si="10"/>
        <v>14</v>
      </c>
      <c r="K244">
        <f t="shared" si="11"/>
        <v>6</v>
      </c>
    </row>
    <row r="245" spans="3:11" ht="16" x14ac:dyDescent="0.45">
      <c r="E245" t="s">
        <v>944</v>
      </c>
      <c r="F245">
        <v>10</v>
      </c>
      <c r="G245">
        <v>2</v>
      </c>
      <c r="H245" s="23">
        <f t="shared" si="9"/>
        <v>20</v>
      </c>
      <c r="I245">
        <v>0.9</v>
      </c>
      <c r="J245" s="23">
        <f t="shared" si="10"/>
        <v>9</v>
      </c>
      <c r="K245">
        <f t="shared" si="11"/>
        <v>11</v>
      </c>
    </row>
    <row r="246" spans="3:11" ht="16" x14ac:dyDescent="0.45">
      <c r="E246" t="s">
        <v>943</v>
      </c>
      <c r="F246">
        <v>15</v>
      </c>
      <c r="G246">
        <v>7.2</v>
      </c>
      <c r="H246" s="23">
        <f t="shared" si="9"/>
        <v>108</v>
      </c>
      <c r="I246">
        <v>3</v>
      </c>
      <c r="J246" s="23">
        <f t="shared" si="10"/>
        <v>45</v>
      </c>
      <c r="K246">
        <f t="shared" si="11"/>
        <v>63</v>
      </c>
    </row>
    <row r="247" spans="3:11" ht="16" x14ac:dyDescent="0.45">
      <c r="E247" t="s">
        <v>952</v>
      </c>
      <c r="F247">
        <v>10</v>
      </c>
      <c r="G247">
        <v>5</v>
      </c>
      <c r="H247" s="23">
        <f t="shared" si="9"/>
        <v>50</v>
      </c>
      <c r="I247">
        <v>0.9</v>
      </c>
      <c r="J247" s="23">
        <f t="shared" si="10"/>
        <v>9</v>
      </c>
      <c r="K247">
        <f t="shared" si="11"/>
        <v>41</v>
      </c>
    </row>
    <row r="248" spans="3:11" ht="16" x14ac:dyDescent="0.45">
      <c r="E248" t="s">
        <v>992</v>
      </c>
      <c r="F248">
        <v>1</v>
      </c>
      <c r="G248">
        <v>50</v>
      </c>
      <c r="H248" s="23">
        <f t="shared" si="9"/>
        <v>50</v>
      </c>
      <c r="I248">
        <v>25</v>
      </c>
      <c r="J248" s="23">
        <f t="shared" si="10"/>
        <v>25</v>
      </c>
      <c r="K248">
        <f t="shared" si="11"/>
        <v>25</v>
      </c>
    </row>
    <row r="249" spans="3:11" ht="16" x14ac:dyDescent="0.45">
      <c r="E249" t="s">
        <v>1033</v>
      </c>
      <c r="F249">
        <v>1</v>
      </c>
      <c r="G249">
        <v>50</v>
      </c>
      <c r="H249" s="23">
        <f t="shared" si="9"/>
        <v>50</v>
      </c>
      <c r="I249">
        <v>40</v>
      </c>
      <c r="J249" s="23">
        <f t="shared" si="10"/>
        <v>40</v>
      </c>
      <c r="K249">
        <f t="shared" si="11"/>
        <v>10</v>
      </c>
    </row>
    <row r="250" spans="3:11" ht="16" x14ac:dyDescent="0.45">
      <c r="E250" t="s">
        <v>935</v>
      </c>
      <c r="F250">
        <v>10</v>
      </c>
      <c r="G250">
        <v>2</v>
      </c>
      <c r="H250" s="23">
        <f t="shared" si="9"/>
        <v>20</v>
      </c>
      <c r="I250">
        <v>1.3</v>
      </c>
      <c r="J250" s="23">
        <f t="shared" si="10"/>
        <v>13</v>
      </c>
      <c r="K250">
        <f t="shared" si="11"/>
        <v>7</v>
      </c>
    </row>
    <row r="251" spans="3:11" ht="16" x14ac:dyDescent="0.45">
      <c r="C251" t="s">
        <v>1034</v>
      </c>
      <c r="E251" t="s">
        <v>1035</v>
      </c>
      <c r="F251">
        <v>1</v>
      </c>
      <c r="G251">
        <v>200</v>
      </c>
      <c r="H251" s="23">
        <f t="shared" si="9"/>
        <v>200</v>
      </c>
      <c r="I251">
        <v>65</v>
      </c>
      <c r="J251" s="23">
        <f t="shared" si="10"/>
        <v>65</v>
      </c>
      <c r="K251">
        <f t="shared" si="11"/>
        <v>135</v>
      </c>
    </row>
    <row r="252" spans="3:11" ht="16" x14ac:dyDescent="0.45">
      <c r="E252" t="s">
        <v>959</v>
      </c>
      <c r="F252">
        <v>2</v>
      </c>
      <c r="G252">
        <v>20</v>
      </c>
      <c r="H252" s="23">
        <f t="shared" si="9"/>
        <v>40</v>
      </c>
      <c r="I252">
        <v>8.5</v>
      </c>
      <c r="J252" s="23">
        <f t="shared" si="10"/>
        <v>17</v>
      </c>
      <c r="K252">
        <f t="shared" si="11"/>
        <v>23</v>
      </c>
    </row>
    <row r="253" spans="3:11" ht="16" x14ac:dyDescent="0.45">
      <c r="E253" t="s">
        <v>1018</v>
      </c>
      <c r="F253">
        <v>10</v>
      </c>
      <c r="G253">
        <v>2</v>
      </c>
      <c r="H253" s="23">
        <f t="shared" si="9"/>
        <v>20</v>
      </c>
      <c r="I253">
        <v>0.35</v>
      </c>
      <c r="J253" s="23">
        <f t="shared" si="10"/>
        <v>3.5</v>
      </c>
      <c r="K253">
        <f t="shared" si="11"/>
        <v>16.5</v>
      </c>
    </row>
    <row r="254" spans="3:11" ht="16" x14ac:dyDescent="0.45">
      <c r="E254" t="s">
        <v>1036</v>
      </c>
      <c r="F254">
        <v>1</v>
      </c>
      <c r="G254">
        <v>100</v>
      </c>
      <c r="H254" s="23">
        <f t="shared" si="9"/>
        <v>100</v>
      </c>
      <c r="I254">
        <v>60</v>
      </c>
      <c r="J254" s="23">
        <f t="shared" si="10"/>
        <v>60</v>
      </c>
      <c r="K254">
        <f t="shared" si="11"/>
        <v>40</v>
      </c>
    </row>
    <row r="255" spans="3:11" ht="16" x14ac:dyDescent="0.45">
      <c r="E255" t="s">
        <v>1037</v>
      </c>
      <c r="F255">
        <v>1</v>
      </c>
      <c r="G255">
        <v>100</v>
      </c>
      <c r="H255" s="23">
        <f t="shared" si="9"/>
        <v>100</v>
      </c>
      <c r="I255">
        <v>40</v>
      </c>
      <c r="J255" s="23">
        <f t="shared" si="10"/>
        <v>40</v>
      </c>
      <c r="K255">
        <f t="shared" si="11"/>
        <v>60</v>
      </c>
    </row>
    <row r="256" spans="3:11" ht="16" x14ac:dyDescent="0.45">
      <c r="E256" t="s">
        <v>1039</v>
      </c>
      <c r="F256">
        <v>1</v>
      </c>
      <c r="G256">
        <v>50</v>
      </c>
      <c r="H256" s="23">
        <f t="shared" si="9"/>
        <v>50</v>
      </c>
      <c r="I256">
        <v>32</v>
      </c>
      <c r="J256" s="23">
        <f t="shared" si="10"/>
        <v>32</v>
      </c>
      <c r="K256">
        <f t="shared" si="11"/>
        <v>18</v>
      </c>
    </row>
    <row r="257" spans="3:11" ht="16" x14ac:dyDescent="0.45">
      <c r="E257" t="s">
        <v>988</v>
      </c>
      <c r="F257">
        <v>1</v>
      </c>
      <c r="G257">
        <v>120</v>
      </c>
      <c r="H257" s="23">
        <f t="shared" si="9"/>
        <v>120</v>
      </c>
      <c r="I257">
        <v>100</v>
      </c>
      <c r="J257" s="23">
        <f t="shared" si="10"/>
        <v>100</v>
      </c>
      <c r="K257">
        <f t="shared" si="11"/>
        <v>20</v>
      </c>
    </row>
    <row r="258" spans="3:11" ht="16" x14ac:dyDescent="0.45">
      <c r="E258" t="s">
        <v>950</v>
      </c>
      <c r="F258">
        <v>2</v>
      </c>
      <c r="G258">
        <v>20</v>
      </c>
      <c r="H258" s="23">
        <f t="shared" si="9"/>
        <v>40</v>
      </c>
      <c r="I258">
        <v>7</v>
      </c>
      <c r="J258" s="23">
        <f t="shared" si="10"/>
        <v>14</v>
      </c>
      <c r="K258">
        <f t="shared" si="11"/>
        <v>26</v>
      </c>
    </row>
    <row r="259" spans="3:11" ht="16" x14ac:dyDescent="0.45">
      <c r="E259" t="s">
        <v>1040</v>
      </c>
      <c r="F259">
        <v>1</v>
      </c>
      <c r="G259">
        <v>50</v>
      </c>
      <c r="H259" s="23">
        <f t="shared" si="9"/>
        <v>50</v>
      </c>
      <c r="I259">
        <v>25</v>
      </c>
      <c r="J259" s="23">
        <f t="shared" si="10"/>
        <v>25</v>
      </c>
      <c r="K259">
        <f t="shared" si="11"/>
        <v>25</v>
      </c>
    </row>
    <row r="260" spans="3:11" ht="16" x14ac:dyDescent="0.45">
      <c r="E260" t="s">
        <v>1041</v>
      </c>
      <c r="F260">
        <v>9</v>
      </c>
      <c r="G260">
        <v>5</v>
      </c>
      <c r="H260" s="23">
        <f t="shared" si="9"/>
        <v>45</v>
      </c>
      <c r="I260">
        <v>0.3</v>
      </c>
      <c r="J260" s="23">
        <f t="shared" si="10"/>
        <v>2.6999999999999997</v>
      </c>
      <c r="K260">
        <f t="shared" si="11"/>
        <v>42.3</v>
      </c>
    </row>
    <row r="261" spans="3:11" ht="16" x14ac:dyDescent="0.45">
      <c r="E261" t="s">
        <v>973</v>
      </c>
      <c r="F261">
        <v>1</v>
      </c>
      <c r="G261">
        <v>50</v>
      </c>
      <c r="H261" s="23">
        <f t="shared" si="9"/>
        <v>50</v>
      </c>
      <c r="I261">
        <v>10</v>
      </c>
      <c r="J261" s="23">
        <f t="shared" si="10"/>
        <v>10</v>
      </c>
      <c r="K261">
        <f t="shared" si="11"/>
        <v>40</v>
      </c>
    </row>
    <row r="262" spans="3:11" ht="16" x14ac:dyDescent="0.45">
      <c r="E262" t="s">
        <v>1043</v>
      </c>
      <c r="F262">
        <v>4</v>
      </c>
      <c r="G262">
        <v>5</v>
      </c>
      <c r="H262" s="23">
        <f t="shared" ref="H262:H325" si="12">F262*G262</f>
        <v>20</v>
      </c>
      <c r="I262">
        <v>0.9</v>
      </c>
      <c r="J262" s="23">
        <f t="shared" ref="J262:J325" si="13">F262*I262</f>
        <v>3.6</v>
      </c>
      <c r="K262">
        <f t="shared" ref="K262:K325" si="14">H262-J262</f>
        <v>16.399999999999999</v>
      </c>
    </row>
    <row r="263" spans="3:11" ht="16" x14ac:dyDescent="0.45">
      <c r="E263" t="s">
        <v>933</v>
      </c>
      <c r="F263">
        <v>4</v>
      </c>
      <c r="G263">
        <v>5</v>
      </c>
      <c r="H263" s="23">
        <f t="shared" si="12"/>
        <v>20</v>
      </c>
      <c r="I263">
        <v>0.9</v>
      </c>
      <c r="J263" s="23">
        <f t="shared" si="13"/>
        <v>3.6</v>
      </c>
      <c r="K263">
        <f t="shared" si="14"/>
        <v>16.399999999999999</v>
      </c>
    </row>
    <row r="264" spans="3:11" ht="16" x14ac:dyDescent="0.45">
      <c r="E264" t="s">
        <v>1044</v>
      </c>
      <c r="F264">
        <v>3</v>
      </c>
      <c r="G264">
        <v>10</v>
      </c>
      <c r="H264" s="23">
        <f t="shared" si="12"/>
        <v>30</v>
      </c>
      <c r="I264">
        <v>6</v>
      </c>
      <c r="J264" s="23">
        <f t="shared" si="13"/>
        <v>18</v>
      </c>
      <c r="K264">
        <f t="shared" si="14"/>
        <v>12</v>
      </c>
    </row>
    <row r="265" spans="3:11" ht="16" x14ac:dyDescent="0.45">
      <c r="E265" t="s">
        <v>934</v>
      </c>
      <c r="F265">
        <v>1</v>
      </c>
      <c r="G265">
        <v>100</v>
      </c>
      <c r="H265" s="23">
        <f t="shared" si="12"/>
        <v>100</v>
      </c>
      <c r="I265">
        <v>50</v>
      </c>
      <c r="J265" s="23">
        <f t="shared" si="13"/>
        <v>50</v>
      </c>
      <c r="K265">
        <f t="shared" si="14"/>
        <v>50</v>
      </c>
    </row>
    <row r="266" spans="3:11" ht="16" x14ac:dyDescent="0.45">
      <c r="E266" t="s">
        <v>1045</v>
      </c>
      <c r="F266">
        <v>1</v>
      </c>
      <c r="G266">
        <v>50</v>
      </c>
      <c r="H266" s="23">
        <f t="shared" si="12"/>
        <v>50</v>
      </c>
      <c r="I266">
        <v>25</v>
      </c>
      <c r="J266" s="23">
        <f t="shared" si="13"/>
        <v>25</v>
      </c>
      <c r="K266">
        <f t="shared" si="14"/>
        <v>25</v>
      </c>
    </row>
    <row r="267" spans="3:11" ht="16" x14ac:dyDescent="0.45">
      <c r="C267" t="s">
        <v>1046</v>
      </c>
      <c r="E267" t="s">
        <v>944</v>
      </c>
      <c r="F267">
        <v>5</v>
      </c>
      <c r="G267">
        <v>2</v>
      </c>
      <c r="H267" s="23">
        <f t="shared" si="12"/>
        <v>10</v>
      </c>
      <c r="I267">
        <v>0.9</v>
      </c>
      <c r="J267" s="23">
        <f t="shared" si="13"/>
        <v>4.5</v>
      </c>
      <c r="K267">
        <f t="shared" si="14"/>
        <v>5.5</v>
      </c>
    </row>
    <row r="268" spans="3:11" ht="16" x14ac:dyDescent="0.45">
      <c r="E268" t="s">
        <v>935</v>
      </c>
      <c r="F268">
        <v>10</v>
      </c>
      <c r="G268">
        <v>3</v>
      </c>
      <c r="H268" s="23">
        <f t="shared" si="12"/>
        <v>30</v>
      </c>
      <c r="I268">
        <v>1.3</v>
      </c>
      <c r="J268" s="23">
        <f t="shared" si="13"/>
        <v>13</v>
      </c>
      <c r="K268">
        <f t="shared" si="14"/>
        <v>17</v>
      </c>
    </row>
    <row r="269" spans="3:11" ht="16" x14ac:dyDescent="0.45">
      <c r="E269" t="s">
        <v>968</v>
      </c>
      <c r="F269">
        <v>15</v>
      </c>
      <c r="G269">
        <v>5</v>
      </c>
      <c r="H269" s="23">
        <f t="shared" si="12"/>
        <v>75</v>
      </c>
      <c r="I269">
        <v>1.2</v>
      </c>
      <c r="J269" s="23">
        <f t="shared" si="13"/>
        <v>18</v>
      </c>
      <c r="K269">
        <f t="shared" si="14"/>
        <v>57</v>
      </c>
    </row>
    <row r="270" spans="3:11" ht="16" x14ac:dyDescent="0.45">
      <c r="E270" t="s">
        <v>960</v>
      </c>
      <c r="F270">
        <v>1</v>
      </c>
      <c r="G270">
        <v>25</v>
      </c>
      <c r="H270" s="23">
        <f t="shared" si="12"/>
        <v>25</v>
      </c>
      <c r="I270">
        <v>17</v>
      </c>
      <c r="J270" s="23">
        <f t="shared" si="13"/>
        <v>17</v>
      </c>
      <c r="K270">
        <f t="shared" si="14"/>
        <v>8</v>
      </c>
    </row>
    <row r="271" spans="3:11" ht="16" x14ac:dyDescent="0.45">
      <c r="E271" t="s">
        <v>973</v>
      </c>
      <c r="F271">
        <v>1</v>
      </c>
      <c r="G271">
        <v>50</v>
      </c>
      <c r="H271" s="23">
        <f t="shared" si="12"/>
        <v>50</v>
      </c>
      <c r="I271">
        <v>10</v>
      </c>
      <c r="J271" s="23">
        <f t="shared" si="13"/>
        <v>10</v>
      </c>
      <c r="K271">
        <f t="shared" si="14"/>
        <v>40</v>
      </c>
    </row>
    <row r="272" spans="3:11" ht="16" x14ac:dyDescent="0.45">
      <c r="E272" t="s">
        <v>949</v>
      </c>
      <c r="F272">
        <v>2</v>
      </c>
      <c r="G272">
        <v>20</v>
      </c>
      <c r="H272" s="23">
        <f t="shared" si="12"/>
        <v>40</v>
      </c>
      <c r="I272">
        <v>10.5</v>
      </c>
      <c r="J272" s="23">
        <f t="shared" si="13"/>
        <v>21</v>
      </c>
      <c r="K272">
        <f t="shared" si="14"/>
        <v>19</v>
      </c>
    </row>
    <row r="273" spans="3:11" ht="16" x14ac:dyDescent="0.45">
      <c r="E273" t="s">
        <v>1047</v>
      </c>
      <c r="F273">
        <v>1</v>
      </c>
      <c r="G273">
        <v>500</v>
      </c>
      <c r="H273" s="23">
        <f t="shared" si="12"/>
        <v>500</v>
      </c>
      <c r="I273">
        <v>380</v>
      </c>
      <c r="J273" s="23">
        <f t="shared" si="13"/>
        <v>380</v>
      </c>
      <c r="K273">
        <f t="shared" si="14"/>
        <v>120</v>
      </c>
    </row>
    <row r="274" spans="3:11" ht="16" x14ac:dyDescent="0.45">
      <c r="E274" t="s">
        <v>973</v>
      </c>
      <c r="F274">
        <v>1</v>
      </c>
      <c r="G274">
        <v>50</v>
      </c>
      <c r="H274" s="23">
        <f t="shared" si="12"/>
        <v>50</v>
      </c>
      <c r="I274">
        <v>10</v>
      </c>
      <c r="J274" s="23">
        <f t="shared" si="13"/>
        <v>10</v>
      </c>
      <c r="K274">
        <f t="shared" si="14"/>
        <v>40</v>
      </c>
    </row>
    <row r="275" spans="3:11" ht="16" x14ac:dyDescent="0.45">
      <c r="E275" t="s">
        <v>1048</v>
      </c>
      <c r="F275">
        <v>5</v>
      </c>
      <c r="G275">
        <v>2</v>
      </c>
      <c r="H275" s="23">
        <f t="shared" si="12"/>
        <v>10</v>
      </c>
      <c r="I275">
        <v>0.35</v>
      </c>
      <c r="J275" s="23">
        <f t="shared" si="13"/>
        <v>1.75</v>
      </c>
      <c r="K275">
        <f t="shared" si="14"/>
        <v>8.25</v>
      </c>
    </row>
    <row r="276" spans="3:11" ht="16" x14ac:dyDescent="0.45">
      <c r="E276" t="s">
        <v>983</v>
      </c>
      <c r="F276">
        <v>1</v>
      </c>
      <c r="G276">
        <v>200</v>
      </c>
      <c r="H276" s="23">
        <f t="shared" si="12"/>
        <v>200</v>
      </c>
      <c r="I276">
        <v>55</v>
      </c>
      <c r="J276" s="23">
        <f t="shared" si="13"/>
        <v>55</v>
      </c>
      <c r="K276">
        <f t="shared" si="14"/>
        <v>145</v>
      </c>
    </row>
    <row r="277" spans="3:11" ht="16" x14ac:dyDescent="0.45">
      <c r="E277" t="s">
        <v>973</v>
      </c>
      <c r="F277">
        <v>2</v>
      </c>
      <c r="G277">
        <v>50</v>
      </c>
      <c r="H277" s="23">
        <f t="shared" si="12"/>
        <v>100</v>
      </c>
      <c r="I277">
        <v>10</v>
      </c>
      <c r="J277" s="23">
        <f t="shared" si="13"/>
        <v>20</v>
      </c>
      <c r="K277">
        <f t="shared" si="14"/>
        <v>80</v>
      </c>
    </row>
    <row r="278" spans="3:11" ht="16" x14ac:dyDescent="0.45">
      <c r="E278" t="s">
        <v>933</v>
      </c>
      <c r="F278">
        <v>4</v>
      </c>
      <c r="G278">
        <v>20</v>
      </c>
      <c r="H278" s="23">
        <f t="shared" si="12"/>
        <v>80</v>
      </c>
      <c r="I278">
        <v>0.9</v>
      </c>
      <c r="J278" s="23">
        <f t="shared" si="13"/>
        <v>3.6</v>
      </c>
      <c r="K278">
        <f t="shared" si="14"/>
        <v>76.400000000000006</v>
      </c>
    </row>
    <row r="279" spans="3:11" ht="16" x14ac:dyDescent="0.45">
      <c r="E279" t="s">
        <v>1049</v>
      </c>
      <c r="F279">
        <v>1</v>
      </c>
      <c r="G279">
        <v>150</v>
      </c>
      <c r="H279" s="23">
        <f t="shared" si="12"/>
        <v>150</v>
      </c>
      <c r="I279">
        <v>60</v>
      </c>
      <c r="J279" s="23">
        <f t="shared" si="13"/>
        <v>60</v>
      </c>
      <c r="K279">
        <f t="shared" si="14"/>
        <v>90</v>
      </c>
    </row>
    <row r="280" spans="3:11" ht="16" x14ac:dyDescent="0.45">
      <c r="E280" t="s">
        <v>1050</v>
      </c>
      <c r="F280">
        <v>15</v>
      </c>
      <c r="G280">
        <v>6.7</v>
      </c>
      <c r="H280" s="23">
        <f t="shared" si="12"/>
        <v>100.5</v>
      </c>
      <c r="I280">
        <v>1.7</v>
      </c>
      <c r="J280" s="23">
        <f t="shared" si="13"/>
        <v>25.5</v>
      </c>
      <c r="K280">
        <f t="shared" si="14"/>
        <v>75</v>
      </c>
    </row>
    <row r="281" spans="3:11" ht="16" x14ac:dyDescent="0.45">
      <c r="E281" t="s">
        <v>960</v>
      </c>
      <c r="F281">
        <v>2</v>
      </c>
      <c r="G281">
        <v>25</v>
      </c>
      <c r="H281" s="23">
        <f t="shared" si="12"/>
        <v>50</v>
      </c>
      <c r="I281">
        <v>17</v>
      </c>
      <c r="J281" s="23">
        <f t="shared" si="13"/>
        <v>34</v>
      </c>
      <c r="K281">
        <f t="shared" si="14"/>
        <v>16</v>
      </c>
    </row>
    <row r="282" spans="3:11" ht="16" x14ac:dyDescent="0.45">
      <c r="E282" t="s">
        <v>952</v>
      </c>
      <c r="F282">
        <v>4</v>
      </c>
      <c r="G282">
        <v>5</v>
      </c>
      <c r="H282" s="23">
        <f t="shared" si="12"/>
        <v>20</v>
      </c>
      <c r="I282">
        <v>0.9</v>
      </c>
      <c r="J282" s="23">
        <f t="shared" si="13"/>
        <v>3.6</v>
      </c>
      <c r="K282">
        <f t="shared" si="14"/>
        <v>16.399999999999999</v>
      </c>
    </row>
    <row r="283" spans="3:11" ht="16" x14ac:dyDescent="0.45">
      <c r="E283" t="s">
        <v>999</v>
      </c>
      <c r="F283">
        <v>3</v>
      </c>
      <c r="G283">
        <v>10</v>
      </c>
      <c r="H283" s="23">
        <f t="shared" si="12"/>
        <v>30</v>
      </c>
      <c r="I283">
        <v>1.3</v>
      </c>
      <c r="J283" s="23">
        <f t="shared" si="13"/>
        <v>3.9000000000000004</v>
      </c>
      <c r="K283">
        <f t="shared" si="14"/>
        <v>26.1</v>
      </c>
    </row>
    <row r="284" spans="3:11" ht="16" x14ac:dyDescent="0.45">
      <c r="C284" t="s">
        <v>1051</v>
      </c>
      <c r="E284" t="s">
        <v>949</v>
      </c>
      <c r="F284">
        <v>2</v>
      </c>
      <c r="G284">
        <v>20</v>
      </c>
      <c r="H284" s="23">
        <f t="shared" si="12"/>
        <v>40</v>
      </c>
      <c r="I284">
        <v>10.5</v>
      </c>
      <c r="J284" s="23">
        <f t="shared" si="13"/>
        <v>21</v>
      </c>
      <c r="K284">
        <f t="shared" si="14"/>
        <v>19</v>
      </c>
    </row>
    <row r="285" spans="3:11" ht="16" x14ac:dyDescent="0.45">
      <c r="E285" t="s">
        <v>1052</v>
      </c>
      <c r="F285">
        <v>1</v>
      </c>
      <c r="G285">
        <v>100</v>
      </c>
      <c r="H285" s="23">
        <f t="shared" si="12"/>
        <v>100</v>
      </c>
      <c r="I285">
        <v>55</v>
      </c>
      <c r="J285" s="23">
        <f t="shared" si="13"/>
        <v>55</v>
      </c>
      <c r="K285">
        <f t="shared" si="14"/>
        <v>45</v>
      </c>
    </row>
    <row r="286" spans="3:11" ht="16" x14ac:dyDescent="0.45">
      <c r="E286" t="s">
        <v>938</v>
      </c>
      <c r="F286">
        <v>1</v>
      </c>
      <c r="G286">
        <v>20</v>
      </c>
      <c r="H286" s="23">
        <f t="shared" si="12"/>
        <v>20</v>
      </c>
      <c r="I286">
        <v>10</v>
      </c>
      <c r="J286" s="23">
        <f t="shared" si="13"/>
        <v>10</v>
      </c>
      <c r="K286">
        <f t="shared" si="14"/>
        <v>10</v>
      </c>
    </row>
    <row r="287" spans="3:11" ht="16" x14ac:dyDescent="0.45">
      <c r="E287" t="s">
        <v>933</v>
      </c>
      <c r="F287">
        <v>4</v>
      </c>
      <c r="G287">
        <v>5</v>
      </c>
      <c r="H287" s="23">
        <f t="shared" si="12"/>
        <v>20</v>
      </c>
      <c r="I287">
        <v>0.9</v>
      </c>
      <c r="J287" s="23">
        <f t="shared" si="13"/>
        <v>3.6</v>
      </c>
      <c r="K287">
        <f t="shared" si="14"/>
        <v>16.399999999999999</v>
      </c>
    </row>
    <row r="288" spans="3:11" ht="16" x14ac:dyDescent="0.45">
      <c r="E288" t="s">
        <v>950</v>
      </c>
      <c r="F288">
        <v>1</v>
      </c>
      <c r="G288">
        <v>10</v>
      </c>
      <c r="H288" s="23">
        <f t="shared" si="12"/>
        <v>10</v>
      </c>
      <c r="I288">
        <v>7</v>
      </c>
      <c r="J288" s="23">
        <f t="shared" si="13"/>
        <v>7</v>
      </c>
      <c r="K288">
        <f t="shared" si="14"/>
        <v>3</v>
      </c>
    </row>
    <row r="289" spans="5:11" ht="16" x14ac:dyDescent="0.45">
      <c r="E289" t="s">
        <v>951</v>
      </c>
      <c r="F289">
        <v>3</v>
      </c>
      <c r="G289">
        <v>15</v>
      </c>
      <c r="H289" s="23">
        <f t="shared" si="12"/>
        <v>45</v>
      </c>
      <c r="I289">
        <v>8</v>
      </c>
      <c r="J289" s="23">
        <f t="shared" si="13"/>
        <v>24</v>
      </c>
      <c r="K289">
        <f t="shared" si="14"/>
        <v>21</v>
      </c>
    </row>
    <row r="290" spans="5:11" ht="16" x14ac:dyDescent="0.45">
      <c r="E290" t="s">
        <v>991</v>
      </c>
      <c r="F290">
        <v>1</v>
      </c>
      <c r="G290">
        <v>20</v>
      </c>
      <c r="H290" s="23">
        <f t="shared" si="12"/>
        <v>20</v>
      </c>
      <c r="I290">
        <v>16</v>
      </c>
      <c r="J290" s="23">
        <f t="shared" si="13"/>
        <v>16</v>
      </c>
      <c r="K290">
        <f t="shared" si="14"/>
        <v>4</v>
      </c>
    </row>
    <row r="291" spans="5:11" ht="16" x14ac:dyDescent="0.45">
      <c r="E291" t="s">
        <v>1043</v>
      </c>
      <c r="F291">
        <v>4</v>
      </c>
      <c r="G291">
        <v>5</v>
      </c>
      <c r="H291" s="23">
        <f t="shared" si="12"/>
        <v>20</v>
      </c>
      <c r="I291">
        <v>0.9</v>
      </c>
      <c r="J291" s="23">
        <f t="shared" si="13"/>
        <v>3.6</v>
      </c>
      <c r="K291">
        <f t="shared" si="14"/>
        <v>16.399999999999999</v>
      </c>
    </row>
    <row r="292" spans="5:11" ht="16" x14ac:dyDescent="0.45">
      <c r="E292" t="s">
        <v>1053</v>
      </c>
      <c r="F292">
        <v>1</v>
      </c>
      <c r="G292">
        <v>50</v>
      </c>
      <c r="H292" s="23">
        <f t="shared" si="12"/>
        <v>50</v>
      </c>
      <c r="I292">
        <v>25</v>
      </c>
      <c r="J292" s="23">
        <f t="shared" si="13"/>
        <v>25</v>
      </c>
      <c r="K292">
        <f t="shared" si="14"/>
        <v>25</v>
      </c>
    </row>
    <row r="293" spans="5:11" ht="16" x14ac:dyDescent="0.45">
      <c r="E293" t="s">
        <v>1054</v>
      </c>
      <c r="F293">
        <v>1</v>
      </c>
      <c r="G293">
        <v>100</v>
      </c>
      <c r="H293" s="23">
        <f t="shared" si="12"/>
        <v>100</v>
      </c>
      <c r="I293">
        <v>85</v>
      </c>
      <c r="J293" s="23">
        <f t="shared" si="13"/>
        <v>85</v>
      </c>
      <c r="K293">
        <f t="shared" si="14"/>
        <v>15</v>
      </c>
    </row>
    <row r="294" spans="5:11" ht="16" x14ac:dyDescent="0.45">
      <c r="E294" t="s">
        <v>944</v>
      </c>
      <c r="F294">
        <v>5</v>
      </c>
      <c r="G294">
        <v>2</v>
      </c>
      <c r="H294" s="23">
        <f t="shared" si="12"/>
        <v>10</v>
      </c>
      <c r="I294">
        <v>0.9</v>
      </c>
      <c r="J294" s="23">
        <f t="shared" si="13"/>
        <v>4.5</v>
      </c>
      <c r="K294">
        <f t="shared" si="14"/>
        <v>5.5</v>
      </c>
    </row>
    <row r="295" spans="5:11" ht="16" x14ac:dyDescent="0.45">
      <c r="E295" t="s">
        <v>933</v>
      </c>
      <c r="F295">
        <v>2</v>
      </c>
      <c r="G295">
        <v>5</v>
      </c>
      <c r="H295" s="23">
        <f t="shared" si="12"/>
        <v>10</v>
      </c>
      <c r="I295">
        <v>0.9</v>
      </c>
      <c r="J295" s="23">
        <f t="shared" si="13"/>
        <v>1.8</v>
      </c>
      <c r="K295">
        <f t="shared" si="14"/>
        <v>8.1999999999999993</v>
      </c>
    </row>
    <row r="296" spans="5:11" ht="16" x14ac:dyDescent="0.45">
      <c r="E296" t="s">
        <v>963</v>
      </c>
      <c r="F296">
        <v>3</v>
      </c>
      <c r="G296">
        <v>15</v>
      </c>
      <c r="H296" s="23">
        <f t="shared" si="12"/>
        <v>45</v>
      </c>
      <c r="I296">
        <v>13</v>
      </c>
      <c r="J296" s="23">
        <f t="shared" si="13"/>
        <v>39</v>
      </c>
      <c r="K296">
        <f t="shared" si="14"/>
        <v>6</v>
      </c>
    </row>
    <row r="297" spans="5:11" ht="16" x14ac:dyDescent="0.45">
      <c r="E297" t="s">
        <v>1002</v>
      </c>
      <c r="F297">
        <v>2</v>
      </c>
      <c r="G297">
        <v>40</v>
      </c>
      <c r="H297" s="23">
        <f t="shared" si="12"/>
        <v>80</v>
      </c>
      <c r="I297">
        <v>39</v>
      </c>
      <c r="J297" s="23">
        <f t="shared" si="13"/>
        <v>78</v>
      </c>
      <c r="K297">
        <f t="shared" si="14"/>
        <v>2</v>
      </c>
    </row>
    <row r="298" spans="5:11" ht="16" x14ac:dyDescent="0.45">
      <c r="E298" t="s">
        <v>935</v>
      </c>
      <c r="F298">
        <v>10</v>
      </c>
      <c r="G298">
        <v>3</v>
      </c>
      <c r="H298" s="23">
        <f t="shared" si="12"/>
        <v>30</v>
      </c>
      <c r="I298">
        <v>1.3</v>
      </c>
      <c r="J298" s="23">
        <f t="shared" si="13"/>
        <v>13</v>
      </c>
      <c r="K298">
        <f t="shared" si="14"/>
        <v>17</v>
      </c>
    </row>
    <row r="299" spans="5:11" ht="16" x14ac:dyDescent="0.45">
      <c r="E299" t="s">
        <v>983</v>
      </c>
      <c r="F299">
        <v>1</v>
      </c>
      <c r="G299">
        <v>200</v>
      </c>
      <c r="H299" s="23">
        <f t="shared" si="12"/>
        <v>200</v>
      </c>
      <c r="I299">
        <v>55</v>
      </c>
      <c r="J299" s="23">
        <f t="shared" si="13"/>
        <v>55</v>
      </c>
      <c r="K299">
        <f t="shared" si="14"/>
        <v>145</v>
      </c>
    </row>
    <row r="300" spans="5:11" ht="16" x14ac:dyDescent="0.45">
      <c r="E300" t="s">
        <v>1055</v>
      </c>
      <c r="F300">
        <v>1</v>
      </c>
      <c r="G300">
        <v>100</v>
      </c>
      <c r="H300" s="23">
        <f t="shared" si="12"/>
        <v>100</v>
      </c>
      <c r="I300">
        <v>35</v>
      </c>
      <c r="J300" s="23">
        <f t="shared" si="13"/>
        <v>35</v>
      </c>
      <c r="K300">
        <f t="shared" si="14"/>
        <v>65</v>
      </c>
    </row>
    <row r="301" spans="5:11" ht="16" x14ac:dyDescent="0.45">
      <c r="E301" t="s">
        <v>940</v>
      </c>
      <c r="F301">
        <v>8</v>
      </c>
      <c r="G301">
        <v>2.5</v>
      </c>
      <c r="H301" s="23">
        <f t="shared" si="12"/>
        <v>20</v>
      </c>
      <c r="I301">
        <v>1.2</v>
      </c>
      <c r="J301" s="23">
        <f t="shared" si="13"/>
        <v>9.6</v>
      </c>
      <c r="K301">
        <f t="shared" si="14"/>
        <v>10.4</v>
      </c>
    </row>
    <row r="302" spans="5:11" ht="16" x14ac:dyDescent="0.45">
      <c r="E302" t="s">
        <v>934</v>
      </c>
      <c r="F302">
        <v>1</v>
      </c>
      <c r="G302">
        <v>100</v>
      </c>
      <c r="H302" s="23">
        <f t="shared" si="12"/>
        <v>100</v>
      </c>
      <c r="I302">
        <v>50</v>
      </c>
      <c r="J302" s="23">
        <f t="shared" si="13"/>
        <v>50</v>
      </c>
      <c r="K302">
        <f t="shared" si="14"/>
        <v>50</v>
      </c>
    </row>
    <row r="303" spans="5:11" ht="16" x14ac:dyDescent="0.45">
      <c r="E303" t="s">
        <v>957</v>
      </c>
      <c r="F303">
        <v>10</v>
      </c>
      <c r="G303">
        <v>2</v>
      </c>
      <c r="H303" s="23">
        <f t="shared" si="12"/>
        <v>20</v>
      </c>
      <c r="I303">
        <v>0.65</v>
      </c>
      <c r="J303" s="23">
        <f t="shared" si="13"/>
        <v>6.5</v>
      </c>
      <c r="K303">
        <f t="shared" si="14"/>
        <v>13.5</v>
      </c>
    </row>
    <row r="304" spans="5:11" ht="16" x14ac:dyDescent="0.45">
      <c r="E304" t="s">
        <v>935</v>
      </c>
      <c r="F304">
        <v>10</v>
      </c>
      <c r="G304">
        <v>3</v>
      </c>
      <c r="H304" s="23">
        <f t="shared" si="12"/>
        <v>30</v>
      </c>
      <c r="I304">
        <v>1.3</v>
      </c>
      <c r="J304" s="23">
        <f t="shared" si="13"/>
        <v>13</v>
      </c>
      <c r="K304">
        <f t="shared" si="14"/>
        <v>17</v>
      </c>
    </row>
    <row r="305" spans="3:11" ht="16" x14ac:dyDescent="0.45">
      <c r="E305" t="s">
        <v>977</v>
      </c>
      <c r="F305">
        <v>1</v>
      </c>
      <c r="G305">
        <v>200</v>
      </c>
      <c r="H305" s="23">
        <f t="shared" si="12"/>
        <v>200</v>
      </c>
      <c r="I305">
        <v>165</v>
      </c>
      <c r="J305" s="23">
        <f t="shared" si="13"/>
        <v>165</v>
      </c>
      <c r="K305">
        <f t="shared" si="14"/>
        <v>35</v>
      </c>
    </row>
    <row r="306" spans="3:11" ht="16" x14ac:dyDescent="0.45">
      <c r="C306" t="s">
        <v>1056</v>
      </c>
      <c r="E306" t="s">
        <v>938</v>
      </c>
      <c r="F306">
        <v>1</v>
      </c>
      <c r="G306">
        <v>15</v>
      </c>
      <c r="H306" s="23">
        <f t="shared" si="12"/>
        <v>15</v>
      </c>
      <c r="I306">
        <v>10</v>
      </c>
      <c r="J306" s="23">
        <f t="shared" si="13"/>
        <v>10</v>
      </c>
      <c r="K306">
        <f t="shared" si="14"/>
        <v>5</v>
      </c>
    </row>
    <row r="307" spans="3:11" ht="16" x14ac:dyDescent="0.45">
      <c r="E307" t="s">
        <v>991</v>
      </c>
      <c r="F307">
        <v>2</v>
      </c>
      <c r="G307">
        <v>20</v>
      </c>
      <c r="H307" s="23">
        <f t="shared" si="12"/>
        <v>40</v>
      </c>
      <c r="I307">
        <v>16</v>
      </c>
      <c r="J307" s="23">
        <f t="shared" si="13"/>
        <v>32</v>
      </c>
      <c r="K307">
        <f t="shared" si="14"/>
        <v>8</v>
      </c>
    </row>
    <row r="308" spans="3:11" ht="16" x14ac:dyDescent="0.45">
      <c r="E308" t="s">
        <v>949</v>
      </c>
      <c r="F308">
        <v>3</v>
      </c>
      <c r="G308">
        <v>20</v>
      </c>
      <c r="H308" s="23">
        <f t="shared" si="12"/>
        <v>60</v>
      </c>
      <c r="I308">
        <v>10.5</v>
      </c>
      <c r="J308" s="23">
        <f t="shared" si="13"/>
        <v>31.5</v>
      </c>
      <c r="K308">
        <f t="shared" si="14"/>
        <v>28.5</v>
      </c>
    </row>
    <row r="309" spans="3:11" ht="16" x14ac:dyDescent="0.45">
      <c r="E309" t="s">
        <v>964</v>
      </c>
      <c r="F309">
        <v>4</v>
      </c>
      <c r="G309">
        <v>10</v>
      </c>
      <c r="H309" s="23">
        <f t="shared" si="12"/>
        <v>40</v>
      </c>
      <c r="I309">
        <v>2.2999999999999998</v>
      </c>
      <c r="J309" s="23">
        <f t="shared" si="13"/>
        <v>9.1999999999999993</v>
      </c>
      <c r="K309">
        <f t="shared" si="14"/>
        <v>30.8</v>
      </c>
    </row>
    <row r="310" spans="3:11" ht="16" x14ac:dyDescent="0.45">
      <c r="E310" t="s">
        <v>952</v>
      </c>
      <c r="F310">
        <v>6</v>
      </c>
      <c r="G310">
        <v>5</v>
      </c>
      <c r="H310" s="23">
        <f t="shared" si="12"/>
        <v>30</v>
      </c>
      <c r="I310">
        <v>0.9</v>
      </c>
      <c r="J310" s="23">
        <f t="shared" si="13"/>
        <v>5.4</v>
      </c>
      <c r="K310">
        <f t="shared" si="14"/>
        <v>24.6</v>
      </c>
    </row>
    <row r="311" spans="3:11" ht="16" x14ac:dyDescent="0.45">
      <c r="E311" t="s">
        <v>954</v>
      </c>
      <c r="F311">
        <v>2</v>
      </c>
      <c r="G311">
        <v>20</v>
      </c>
      <c r="H311" s="23">
        <f t="shared" si="12"/>
        <v>40</v>
      </c>
      <c r="I311">
        <v>14</v>
      </c>
      <c r="J311" s="23">
        <f t="shared" si="13"/>
        <v>28</v>
      </c>
      <c r="K311">
        <f t="shared" si="14"/>
        <v>12</v>
      </c>
    </row>
    <row r="312" spans="3:11" ht="16" x14ac:dyDescent="0.45">
      <c r="E312" t="s">
        <v>1057</v>
      </c>
      <c r="F312">
        <v>10</v>
      </c>
      <c r="G312">
        <v>2</v>
      </c>
      <c r="H312" s="23">
        <f t="shared" si="12"/>
        <v>20</v>
      </c>
      <c r="I312">
        <v>0.35</v>
      </c>
      <c r="J312" s="23">
        <f t="shared" si="13"/>
        <v>3.5</v>
      </c>
      <c r="K312">
        <f t="shared" si="14"/>
        <v>16.5</v>
      </c>
    </row>
    <row r="313" spans="3:11" ht="16" x14ac:dyDescent="0.45">
      <c r="E313" t="s">
        <v>665</v>
      </c>
      <c r="F313">
        <v>1</v>
      </c>
      <c r="G313">
        <v>50</v>
      </c>
      <c r="H313" s="23">
        <f t="shared" si="12"/>
        <v>50</v>
      </c>
      <c r="I313">
        <v>25</v>
      </c>
      <c r="J313" s="23">
        <f t="shared" si="13"/>
        <v>25</v>
      </c>
      <c r="K313">
        <f t="shared" si="14"/>
        <v>25</v>
      </c>
    </row>
    <row r="314" spans="3:11" ht="16" x14ac:dyDescent="0.45">
      <c r="E314" t="s">
        <v>1058</v>
      </c>
      <c r="F314">
        <v>1</v>
      </c>
      <c r="G314">
        <v>150</v>
      </c>
      <c r="H314" s="23">
        <f t="shared" si="12"/>
        <v>150</v>
      </c>
      <c r="I314">
        <v>58</v>
      </c>
      <c r="J314" s="23">
        <f t="shared" si="13"/>
        <v>58</v>
      </c>
      <c r="K314">
        <f t="shared" si="14"/>
        <v>92</v>
      </c>
    </row>
    <row r="315" spans="3:11" ht="16" x14ac:dyDescent="0.45">
      <c r="E315" t="s">
        <v>1053</v>
      </c>
      <c r="F315">
        <v>1</v>
      </c>
      <c r="G315">
        <v>50</v>
      </c>
      <c r="H315" s="23">
        <f t="shared" si="12"/>
        <v>50</v>
      </c>
      <c r="I315">
        <v>25</v>
      </c>
      <c r="J315" s="23">
        <f t="shared" si="13"/>
        <v>25</v>
      </c>
      <c r="K315">
        <f t="shared" si="14"/>
        <v>25</v>
      </c>
    </row>
    <row r="316" spans="3:11" ht="16" x14ac:dyDescent="0.45">
      <c r="E316" t="s">
        <v>933</v>
      </c>
      <c r="F316">
        <v>2</v>
      </c>
      <c r="G316">
        <v>5</v>
      </c>
      <c r="H316" s="23">
        <f t="shared" si="12"/>
        <v>10</v>
      </c>
      <c r="I316">
        <v>0.9</v>
      </c>
      <c r="J316" s="23">
        <f t="shared" si="13"/>
        <v>1.8</v>
      </c>
      <c r="K316">
        <f t="shared" si="14"/>
        <v>8.1999999999999993</v>
      </c>
    </row>
    <row r="317" spans="3:11" ht="16" x14ac:dyDescent="0.45">
      <c r="E317" t="s">
        <v>993</v>
      </c>
      <c r="F317">
        <v>1</v>
      </c>
      <c r="G317">
        <v>50</v>
      </c>
      <c r="H317" s="23">
        <f t="shared" si="12"/>
        <v>50</v>
      </c>
      <c r="I317">
        <v>25</v>
      </c>
      <c r="J317" s="23">
        <f t="shared" si="13"/>
        <v>25</v>
      </c>
      <c r="K317">
        <f t="shared" si="14"/>
        <v>25</v>
      </c>
    </row>
    <row r="318" spans="3:11" ht="16" x14ac:dyDescent="0.45">
      <c r="E318" t="s">
        <v>957</v>
      </c>
      <c r="F318">
        <v>10</v>
      </c>
      <c r="G318">
        <v>2</v>
      </c>
      <c r="H318" s="23">
        <f t="shared" si="12"/>
        <v>20</v>
      </c>
      <c r="I318">
        <v>0.65</v>
      </c>
      <c r="J318" s="23">
        <f t="shared" si="13"/>
        <v>6.5</v>
      </c>
      <c r="K318">
        <f t="shared" si="14"/>
        <v>13.5</v>
      </c>
    </row>
    <row r="319" spans="3:11" ht="16" x14ac:dyDescent="0.45">
      <c r="E319" t="s">
        <v>952</v>
      </c>
      <c r="F319">
        <v>5</v>
      </c>
      <c r="G319">
        <v>5</v>
      </c>
      <c r="H319" s="23">
        <f t="shared" si="12"/>
        <v>25</v>
      </c>
      <c r="I319">
        <v>0.9</v>
      </c>
      <c r="J319" s="23">
        <f t="shared" si="13"/>
        <v>4.5</v>
      </c>
      <c r="K319">
        <f t="shared" si="14"/>
        <v>20.5</v>
      </c>
    </row>
    <row r="320" spans="3:11" ht="16" x14ac:dyDescent="0.45">
      <c r="E320" t="s">
        <v>1059</v>
      </c>
      <c r="F320">
        <v>8</v>
      </c>
      <c r="G320">
        <v>2.5</v>
      </c>
      <c r="H320" s="23">
        <f t="shared" si="12"/>
        <v>20</v>
      </c>
      <c r="I320">
        <v>0.65</v>
      </c>
      <c r="J320" s="23">
        <f t="shared" si="13"/>
        <v>5.2</v>
      </c>
      <c r="K320">
        <f t="shared" si="14"/>
        <v>14.8</v>
      </c>
    </row>
    <row r="321" spans="3:11" ht="16" x14ac:dyDescent="0.45">
      <c r="C321" t="s">
        <v>1060</v>
      </c>
      <c r="E321" t="s">
        <v>991</v>
      </c>
      <c r="F321">
        <v>2</v>
      </c>
      <c r="G321">
        <v>20</v>
      </c>
      <c r="H321" s="23">
        <f t="shared" si="12"/>
        <v>40</v>
      </c>
      <c r="I321">
        <v>16</v>
      </c>
      <c r="J321" s="23">
        <f t="shared" si="13"/>
        <v>32</v>
      </c>
      <c r="K321">
        <f t="shared" si="14"/>
        <v>8</v>
      </c>
    </row>
    <row r="322" spans="3:11" ht="16" x14ac:dyDescent="0.45">
      <c r="E322" t="s">
        <v>938</v>
      </c>
      <c r="F322">
        <v>1</v>
      </c>
      <c r="G322">
        <v>20</v>
      </c>
      <c r="H322" s="23">
        <f t="shared" si="12"/>
        <v>20</v>
      </c>
      <c r="I322">
        <v>10</v>
      </c>
      <c r="J322" s="23">
        <f t="shared" si="13"/>
        <v>10</v>
      </c>
      <c r="K322">
        <f t="shared" si="14"/>
        <v>10</v>
      </c>
    </row>
    <row r="323" spans="3:11" ht="16" x14ac:dyDescent="0.45">
      <c r="E323" t="s">
        <v>934</v>
      </c>
      <c r="F323">
        <v>1</v>
      </c>
      <c r="G323">
        <v>100</v>
      </c>
      <c r="H323" s="23">
        <f t="shared" si="12"/>
        <v>100</v>
      </c>
      <c r="I323">
        <v>50</v>
      </c>
      <c r="J323" s="23">
        <f t="shared" si="13"/>
        <v>50</v>
      </c>
      <c r="K323">
        <f t="shared" si="14"/>
        <v>50</v>
      </c>
    </row>
    <row r="324" spans="3:11" ht="16" x14ac:dyDescent="0.45">
      <c r="E324" t="s">
        <v>1061</v>
      </c>
      <c r="F324">
        <v>10</v>
      </c>
      <c r="G324">
        <v>3</v>
      </c>
      <c r="H324" s="23">
        <f t="shared" si="12"/>
        <v>30</v>
      </c>
      <c r="I324">
        <v>1.3</v>
      </c>
      <c r="J324" s="23">
        <f t="shared" si="13"/>
        <v>13</v>
      </c>
      <c r="K324">
        <f t="shared" si="14"/>
        <v>17</v>
      </c>
    </row>
    <row r="325" spans="3:11" ht="16" x14ac:dyDescent="0.45">
      <c r="E325" t="s">
        <v>955</v>
      </c>
      <c r="F325">
        <v>1</v>
      </c>
      <c r="G325">
        <v>20</v>
      </c>
      <c r="H325" s="23">
        <f t="shared" si="12"/>
        <v>20</v>
      </c>
      <c r="I325">
        <v>12</v>
      </c>
      <c r="J325" s="23">
        <f t="shared" si="13"/>
        <v>12</v>
      </c>
      <c r="K325">
        <f t="shared" si="14"/>
        <v>8</v>
      </c>
    </row>
    <row r="326" spans="3:11" ht="16" x14ac:dyDescent="0.45">
      <c r="E326" t="s">
        <v>963</v>
      </c>
      <c r="F326">
        <v>10</v>
      </c>
      <c r="G326">
        <v>20</v>
      </c>
      <c r="H326" s="23">
        <f t="shared" ref="H326:H389" si="15">F326*G326</f>
        <v>200</v>
      </c>
      <c r="I326">
        <v>13</v>
      </c>
      <c r="J326" s="23">
        <f t="shared" ref="J326:J389" si="16">F326*I326</f>
        <v>130</v>
      </c>
      <c r="K326">
        <f t="shared" ref="K326:K389" si="17">H326-J326</f>
        <v>70</v>
      </c>
    </row>
    <row r="327" spans="3:11" ht="16" x14ac:dyDescent="0.45">
      <c r="E327" t="s">
        <v>973</v>
      </c>
      <c r="F327">
        <v>1</v>
      </c>
      <c r="G327">
        <v>50</v>
      </c>
      <c r="H327" s="23">
        <f t="shared" si="15"/>
        <v>50</v>
      </c>
      <c r="I327">
        <v>10</v>
      </c>
      <c r="J327" s="23">
        <f t="shared" si="16"/>
        <v>10</v>
      </c>
      <c r="K327">
        <f t="shared" si="17"/>
        <v>40</v>
      </c>
    </row>
    <row r="328" spans="3:11" ht="16" x14ac:dyDescent="0.45">
      <c r="E328" t="s">
        <v>1062</v>
      </c>
      <c r="F328">
        <v>1</v>
      </c>
      <c r="G328">
        <v>100</v>
      </c>
      <c r="H328" s="23">
        <f t="shared" si="15"/>
        <v>100</v>
      </c>
      <c r="I328">
        <v>75</v>
      </c>
      <c r="J328" s="23">
        <f t="shared" si="16"/>
        <v>75</v>
      </c>
      <c r="K328">
        <f t="shared" si="17"/>
        <v>25</v>
      </c>
    </row>
    <row r="329" spans="3:11" ht="16" x14ac:dyDescent="0.45">
      <c r="E329" t="s">
        <v>1044</v>
      </c>
      <c r="F329">
        <v>3</v>
      </c>
      <c r="G329">
        <v>10</v>
      </c>
      <c r="H329" s="23">
        <f t="shared" si="15"/>
        <v>30</v>
      </c>
      <c r="I329">
        <v>6</v>
      </c>
      <c r="J329" s="23">
        <f t="shared" si="16"/>
        <v>18</v>
      </c>
      <c r="K329">
        <f t="shared" si="17"/>
        <v>12</v>
      </c>
    </row>
    <row r="330" spans="3:11" ht="16" x14ac:dyDescent="0.45">
      <c r="E330" t="s">
        <v>952</v>
      </c>
      <c r="F330">
        <v>7</v>
      </c>
      <c r="G330">
        <v>5</v>
      </c>
      <c r="H330" s="23">
        <f t="shared" si="15"/>
        <v>35</v>
      </c>
      <c r="I330">
        <v>0.9</v>
      </c>
      <c r="J330" s="23">
        <f t="shared" si="16"/>
        <v>6.3</v>
      </c>
      <c r="K330">
        <f t="shared" si="17"/>
        <v>28.7</v>
      </c>
    </row>
    <row r="331" spans="3:11" ht="16" x14ac:dyDescent="0.45">
      <c r="E331" t="s">
        <v>950</v>
      </c>
      <c r="F331">
        <v>2</v>
      </c>
      <c r="G331">
        <v>10</v>
      </c>
      <c r="H331" s="23">
        <f t="shared" si="15"/>
        <v>20</v>
      </c>
      <c r="I331">
        <v>7</v>
      </c>
      <c r="J331" s="23">
        <f t="shared" si="16"/>
        <v>14</v>
      </c>
      <c r="K331">
        <f t="shared" si="17"/>
        <v>6</v>
      </c>
    </row>
    <row r="332" spans="3:11" ht="16" x14ac:dyDescent="0.45">
      <c r="E332" t="s">
        <v>988</v>
      </c>
      <c r="F332">
        <v>1</v>
      </c>
      <c r="G332">
        <v>150</v>
      </c>
      <c r="H332" s="23">
        <f t="shared" si="15"/>
        <v>150</v>
      </c>
      <c r="I332">
        <v>100</v>
      </c>
      <c r="J332" s="23">
        <f t="shared" si="16"/>
        <v>100</v>
      </c>
      <c r="K332">
        <f t="shared" si="17"/>
        <v>50</v>
      </c>
    </row>
    <row r="333" spans="3:11" ht="16" x14ac:dyDescent="0.45">
      <c r="E333" t="s">
        <v>933</v>
      </c>
      <c r="F333">
        <v>4</v>
      </c>
      <c r="G333">
        <v>5</v>
      </c>
      <c r="H333" s="23">
        <f t="shared" si="15"/>
        <v>20</v>
      </c>
      <c r="I333">
        <v>0.9</v>
      </c>
      <c r="J333" s="23">
        <f t="shared" si="16"/>
        <v>3.6</v>
      </c>
      <c r="K333">
        <f t="shared" si="17"/>
        <v>16.399999999999999</v>
      </c>
    </row>
    <row r="334" spans="3:11" ht="16" x14ac:dyDescent="0.45">
      <c r="E334" t="s">
        <v>963</v>
      </c>
      <c r="F334">
        <v>1</v>
      </c>
      <c r="G334">
        <v>20</v>
      </c>
      <c r="H334" s="23">
        <f t="shared" si="15"/>
        <v>20</v>
      </c>
      <c r="I334">
        <v>13</v>
      </c>
      <c r="J334" s="23">
        <f t="shared" si="16"/>
        <v>13</v>
      </c>
      <c r="K334">
        <f t="shared" si="17"/>
        <v>7</v>
      </c>
    </row>
    <row r="335" spans="3:11" ht="16" x14ac:dyDescent="0.45">
      <c r="E335" t="s">
        <v>954</v>
      </c>
      <c r="F335">
        <v>1</v>
      </c>
      <c r="G335">
        <v>20</v>
      </c>
      <c r="H335" s="23">
        <f t="shared" si="15"/>
        <v>20</v>
      </c>
      <c r="I335">
        <v>14</v>
      </c>
      <c r="J335" s="23">
        <f t="shared" si="16"/>
        <v>14</v>
      </c>
      <c r="K335">
        <f t="shared" si="17"/>
        <v>6</v>
      </c>
    </row>
    <row r="336" spans="3:11" ht="16" x14ac:dyDescent="0.45">
      <c r="E336" t="s">
        <v>944</v>
      </c>
      <c r="F336">
        <v>10</v>
      </c>
      <c r="G336">
        <v>2</v>
      </c>
      <c r="H336" s="23">
        <f t="shared" si="15"/>
        <v>20</v>
      </c>
      <c r="I336">
        <v>0.9</v>
      </c>
      <c r="J336" s="23">
        <f t="shared" si="16"/>
        <v>9</v>
      </c>
      <c r="K336">
        <f t="shared" si="17"/>
        <v>11</v>
      </c>
    </row>
    <row r="337" spans="3:11" ht="16" x14ac:dyDescent="0.45">
      <c r="E337" t="s">
        <v>956</v>
      </c>
      <c r="F337">
        <v>1</v>
      </c>
      <c r="G337">
        <v>10</v>
      </c>
      <c r="H337" s="23">
        <f t="shared" si="15"/>
        <v>10</v>
      </c>
      <c r="I337">
        <v>6</v>
      </c>
      <c r="J337" s="23">
        <f t="shared" si="16"/>
        <v>6</v>
      </c>
      <c r="K337">
        <f t="shared" si="17"/>
        <v>4</v>
      </c>
    </row>
    <row r="338" spans="3:11" ht="16" x14ac:dyDescent="0.45">
      <c r="C338" t="s">
        <v>1063</v>
      </c>
      <c r="E338" t="s">
        <v>1064</v>
      </c>
      <c r="F338">
        <v>45</v>
      </c>
      <c r="G338">
        <v>10</v>
      </c>
      <c r="H338" s="23">
        <f t="shared" si="15"/>
        <v>450</v>
      </c>
      <c r="I338">
        <v>3.38</v>
      </c>
      <c r="J338" s="23">
        <f t="shared" si="16"/>
        <v>152.1</v>
      </c>
      <c r="K338">
        <f t="shared" si="17"/>
        <v>297.89999999999998</v>
      </c>
    </row>
    <row r="339" spans="3:11" ht="16" x14ac:dyDescent="0.45">
      <c r="E339" t="s">
        <v>1065</v>
      </c>
      <c r="F339">
        <v>1</v>
      </c>
      <c r="G339">
        <v>200</v>
      </c>
      <c r="H339" s="23">
        <f t="shared" si="15"/>
        <v>200</v>
      </c>
      <c r="I339">
        <v>154</v>
      </c>
      <c r="J339" s="23">
        <f t="shared" si="16"/>
        <v>154</v>
      </c>
      <c r="K339">
        <f t="shared" si="17"/>
        <v>46</v>
      </c>
    </row>
    <row r="340" spans="3:11" ht="16" x14ac:dyDescent="0.45">
      <c r="E340" t="s">
        <v>933</v>
      </c>
      <c r="F340">
        <v>4</v>
      </c>
      <c r="G340">
        <v>5</v>
      </c>
      <c r="H340" s="23">
        <f t="shared" si="15"/>
        <v>20</v>
      </c>
      <c r="I340">
        <v>0.9</v>
      </c>
      <c r="J340" s="23">
        <f t="shared" si="16"/>
        <v>3.6</v>
      </c>
      <c r="K340">
        <f t="shared" si="17"/>
        <v>16.399999999999999</v>
      </c>
    </row>
    <row r="341" spans="3:11" ht="16" x14ac:dyDescent="0.45">
      <c r="E341" t="s">
        <v>954</v>
      </c>
      <c r="F341">
        <v>1</v>
      </c>
      <c r="G341">
        <v>20</v>
      </c>
      <c r="H341" s="23">
        <f t="shared" si="15"/>
        <v>20</v>
      </c>
      <c r="I341">
        <v>14</v>
      </c>
      <c r="J341" s="23">
        <f t="shared" si="16"/>
        <v>14</v>
      </c>
      <c r="K341">
        <f t="shared" si="17"/>
        <v>6</v>
      </c>
    </row>
    <row r="342" spans="3:11" ht="16" x14ac:dyDescent="0.45">
      <c r="E342" t="s">
        <v>964</v>
      </c>
      <c r="F342">
        <v>2</v>
      </c>
      <c r="G342">
        <v>10</v>
      </c>
      <c r="H342" s="23">
        <f t="shared" si="15"/>
        <v>20</v>
      </c>
      <c r="I342">
        <v>2.2999999999999998</v>
      </c>
      <c r="J342" s="23">
        <f t="shared" si="16"/>
        <v>4.5999999999999996</v>
      </c>
      <c r="K342">
        <f t="shared" si="17"/>
        <v>15.4</v>
      </c>
    </row>
    <row r="343" spans="3:11" ht="16" x14ac:dyDescent="0.45">
      <c r="E343" t="s">
        <v>963</v>
      </c>
      <c r="F343">
        <v>2</v>
      </c>
      <c r="G343">
        <v>20</v>
      </c>
      <c r="H343" s="23">
        <f t="shared" si="15"/>
        <v>40</v>
      </c>
      <c r="I343">
        <v>13</v>
      </c>
      <c r="J343" s="23">
        <f t="shared" si="16"/>
        <v>26</v>
      </c>
      <c r="K343">
        <f t="shared" si="17"/>
        <v>14</v>
      </c>
    </row>
    <row r="344" spans="3:11" ht="16" x14ac:dyDescent="0.45">
      <c r="E344" t="s">
        <v>977</v>
      </c>
      <c r="F344">
        <v>1</v>
      </c>
      <c r="G344">
        <v>200</v>
      </c>
      <c r="H344" s="23">
        <f t="shared" si="15"/>
        <v>200</v>
      </c>
      <c r="I344">
        <v>165</v>
      </c>
      <c r="J344" s="23">
        <f t="shared" si="16"/>
        <v>165</v>
      </c>
      <c r="K344">
        <f t="shared" si="17"/>
        <v>35</v>
      </c>
    </row>
    <row r="345" spans="3:11" ht="16" x14ac:dyDescent="0.45">
      <c r="E345" t="s">
        <v>1041</v>
      </c>
      <c r="F345">
        <v>4</v>
      </c>
      <c r="G345">
        <v>5</v>
      </c>
      <c r="H345" s="23">
        <f t="shared" si="15"/>
        <v>20</v>
      </c>
      <c r="I345">
        <v>0.65</v>
      </c>
      <c r="J345" s="23">
        <f t="shared" si="16"/>
        <v>2.6</v>
      </c>
      <c r="K345">
        <f t="shared" si="17"/>
        <v>17.399999999999999</v>
      </c>
    </row>
    <row r="346" spans="3:11" ht="16" x14ac:dyDescent="0.45">
      <c r="E346" t="s">
        <v>938</v>
      </c>
      <c r="F346">
        <v>1</v>
      </c>
      <c r="G346">
        <v>15</v>
      </c>
      <c r="H346" s="23">
        <f t="shared" si="15"/>
        <v>15</v>
      </c>
      <c r="I346">
        <v>10</v>
      </c>
      <c r="J346" s="23">
        <f t="shared" si="16"/>
        <v>10</v>
      </c>
      <c r="K346">
        <f t="shared" si="17"/>
        <v>5</v>
      </c>
    </row>
    <row r="347" spans="3:11" ht="16" x14ac:dyDescent="0.45">
      <c r="E347" t="s">
        <v>1059</v>
      </c>
      <c r="F347">
        <v>5</v>
      </c>
      <c r="G347">
        <v>2</v>
      </c>
      <c r="H347" s="23">
        <f t="shared" si="15"/>
        <v>10</v>
      </c>
      <c r="I347">
        <v>0.35</v>
      </c>
      <c r="J347" s="23">
        <f t="shared" si="16"/>
        <v>1.75</v>
      </c>
      <c r="K347">
        <f t="shared" si="17"/>
        <v>8.25</v>
      </c>
    </row>
    <row r="348" spans="3:11" ht="16" x14ac:dyDescent="0.45">
      <c r="E348" t="s">
        <v>950</v>
      </c>
      <c r="F348">
        <v>2</v>
      </c>
      <c r="G348">
        <v>10</v>
      </c>
      <c r="H348" s="23">
        <f t="shared" si="15"/>
        <v>20</v>
      </c>
      <c r="I348">
        <v>7</v>
      </c>
      <c r="J348" s="23">
        <f t="shared" si="16"/>
        <v>14</v>
      </c>
      <c r="K348">
        <f t="shared" si="17"/>
        <v>6</v>
      </c>
    </row>
    <row r="349" spans="3:11" ht="16" x14ac:dyDescent="0.45">
      <c r="E349" t="s">
        <v>1066</v>
      </c>
      <c r="F349">
        <v>1</v>
      </c>
      <c r="G349">
        <v>25</v>
      </c>
      <c r="H349" s="23">
        <f t="shared" si="15"/>
        <v>25</v>
      </c>
      <c r="I349">
        <v>15</v>
      </c>
      <c r="J349" s="23">
        <f t="shared" si="16"/>
        <v>15</v>
      </c>
      <c r="K349">
        <f t="shared" si="17"/>
        <v>10</v>
      </c>
    </row>
    <row r="350" spans="3:11" ht="16" x14ac:dyDescent="0.45">
      <c r="E350" t="s">
        <v>939</v>
      </c>
      <c r="F350">
        <v>1</v>
      </c>
      <c r="G350">
        <v>50</v>
      </c>
      <c r="H350" s="23">
        <f t="shared" si="15"/>
        <v>50</v>
      </c>
      <c r="I350">
        <v>25</v>
      </c>
      <c r="J350" s="23">
        <f t="shared" si="16"/>
        <v>25</v>
      </c>
      <c r="K350">
        <f t="shared" si="17"/>
        <v>25</v>
      </c>
    </row>
    <row r="351" spans="3:11" ht="16" x14ac:dyDescent="0.45">
      <c r="C351" t="s">
        <v>1067</v>
      </c>
      <c r="E351" t="s">
        <v>944</v>
      </c>
      <c r="F351">
        <v>15</v>
      </c>
      <c r="G351">
        <v>2</v>
      </c>
      <c r="H351" s="23">
        <f t="shared" si="15"/>
        <v>30</v>
      </c>
      <c r="I351">
        <v>0.9</v>
      </c>
      <c r="J351" s="23">
        <f t="shared" si="16"/>
        <v>13.5</v>
      </c>
      <c r="K351">
        <f t="shared" si="17"/>
        <v>16.5</v>
      </c>
    </row>
    <row r="352" spans="3:11" ht="16" x14ac:dyDescent="0.45">
      <c r="E352" t="s">
        <v>933</v>
      </c>
      <c r="F352">
        <v>2</v>
      </c>
      <c r="G352">
        <v>5</v>
      </c>
      <c r="H352" s="23">
        <f t="shared" si="15"/>
        <v>10</v>
      </c>
      <c r="I352">
        <v>0.9</v>
      </c>
      <c r="J352" s="23">
        <f t="shared" si="16"/>
        <v>1.8</v>
      </c>
      <c r="K352">
        <f t="shared" si="17"/>
        <v>8.1999999999999993</v>
      </c>
    </row>
    <row r="353" spans="3:11" ht="16" x14ac:dyDescent="0.45">
      <c r="E353" t="s">
        <v>934</v>
      </c>
      <c r="F353">
        <v>1</v>
      </c>
      <c r="G353">
        <v>150</v>
      </c>
      <c r="H353" s="23">
        <f t="shared" si="15"/>
        <v>150</v>
      </c>
      <c r="I353">
        <v>50</v>
      </c>
      <c r="J353" s="23">
        <f t="shared" si="16"/>
        <v>50</v>
      </c>
      <c r="K353">
        <f t="shared" si="17"/>
        <v>100</v>
      </c>
    </row>
    <row r="354" spans="3:11" ht="16" x14ac:dyDescent="0.45">
      <c r="E354" t="s">
        <v>1061</v>
      </c>
      <c r="F354">
        <v>10</v>
      </c>
      <c r="G354">
        <v>3</v>
      </c>
      <c r="H354" s="23">
        <f t="shared" si="15"/>
        <v>30</v>
      </c>
      <c r="I354">
        <v>1.3</v>
      </c>
      <c r="J354" s="23">
        <f t="shared" si="16"/>
        <v>13</v>
      </c>
      <c r="K354">
        <f t="shared" si="17"/>
        <v>17</v>
      </c>
    </row>
    <row r="355" spans="3:11" ht="16" x14ac:dyDescent="0.45">
      <c r="E355" t="s">
        <v>1043</v>
      </c>
      <c r="F355">
        <v>8</v>
      </c>
      <c r="G355">
        <v>5</v>
      </c>
      <c r="H355" s="23">
        <f t="shared" si="15"/>
        <v>40</v>
      </c>
      <c r="I355">
        <v>0.9</v>
      </c>
      <c r="J355" s="23">
        <f t="shared" si="16"/>
        <v>7.2</v>
      </c>
      <c r="K355">
        <f t="shared" si="17"/>
        <v>32.799999999999997</v>
      </c>
    </row>
    <row r="356" spans="3:11" ht="16" x14ac:dyDescent="0.45">
      <c r="E356" t="s">
        <v>957</v>
      </c>
      <c r="F356">
        <v>5</v>
      </c>
      <c r="G356">
        <v>2</v>
      </c>
      <c r="H356" s="23">
        <f t="shared" si="15"/>
        <v>10</v>
      </c>
      <c r="I356">
        <v>0.65</v>
      </c>
      <c r="J356" s="23">
        <f t="shared" si="16"/>
        <v>3.25</v>
      </c>
      <c r="K356">
        <f t="shared" si="17"/>
        <v>6.75</v>
      </c>
    </row>
    <row r="357" spans="3:11" ht="16" x14ac:dyDescent="0.45">
      <c r="E357" t="s">
        <v>1068</v>
      </c>
      <c r="F357">
        <v>1</v>
      </c>
      <c r="G357">
        <v>200</v>
      </c>
      <c r="H357" s="23">
        <f t="shared" si="15"/>
        <v>200</v>
      </c>
      <c r="I357">
        <v>95</v>
      </c>
      <c r="J357" s="23">
        <f t="shared" si="16"/>
        <v>95</v>
      </c>
      <c r="K357">
        <f t="shared" si="17"/>
        <v>105</v>
      </c>
    </row>
    <row r="358" spans="3:11" ht="16" x14ac:dyDescent="0.45">
      <c r="E358" t="s">
        <v>1069</v>
      </c>
      <c r="F358">
        <v>1</v>
      </c>
      <c r="G358">
        <v>100</v>
      </c>
      <c r="H358" s="23">
        <f t="shared" si="15"/>
        <v>100</v>
      </c>
      <c r="I358">
        <v>65</v>
      </c>
      <c r="J358" s="23">
        <f t="shared" si="16"/>
        <v>65</v>
      </c>
      <c r="K358">
        <f t="shared" si="17"/>
        <v>35</v>
      </c>
    </row>
    <row r="359" spans="3:11" ht="16" x14ac:dyDescent="0.45">
      <c r="E359" t="s">
        <v>1066</v>
      </c>
      <c r="F359">
        <v>3</v>
      </c>
      <c r="G359">
        <v>25</v>
      </c>
      <c r="H359" s="23">
        <f t="shared" si="15"/>
        <v>75</v>
      </c>
      <c r="I359">
        <v>15</v>
      </c>
      <c r="J359" s="23">
        <f t="shared" si="16"/>
        <v>45</v>
      </c>
      <c r="K359">
        <f t="shared" si="17"/>
        <v>30</v>
      </c>
    </row>
    <row r="360" spans="3:11" ht="16" x14ac:dyDescent="0.45">
      <c r="E360" t="s">
        <v>1070</v>
      </c>
      <c r="F360">
        <v>1</v>
      </c>
      <c r="G360">
        <v>100</v>
      </c>
      <c r="H360" s="23">
        <f t="shared" si="15"/>
        <v>100</v>
      </c>
      <c r="I360">
        <v>70</v>
      </c>
      <c r="J360" s="23">
        <f t="shared" si="16"/>
        <v>70</v>
      </c>
      <c r="K360">
        <f t="shared" si="17"/>
        <v>30</v>
      </c>
    </row>
    <row r="361" spans="3:11" ht="16" x14ac:dyDescent="0.45">
      <c r="E361" t="s">
        <v>1071</v>
      </c>
      <c r="F361">
        <v>1</v>
      </c>
      <c r="G361">
        <v>400</v>
      </c>
      <c r="H361" s="23">
        <f t="shared" si="15"/>
        <v>400</v>
      </c>
      <c r="I361">
        <v>380</v>
      </c>
      <c r="J361" s="23">
        <f t="shared" si="16"/>
        <v>380</v>
      </c>
      <c r="K361">
        <f t="shared" si="17"/>
        <v>20</v>
      </c>
    </row>
    <row r="362" spans="3:11" ht="16" x14ac:dyDescent="0.45">
      <c r="E362" t="s">
        <v>991</v>
      </c>
      <c r="F362">
        <v>1</v>
      </c>
      <c r="G362">
        <v>20</v>
      </c>
      <c r="H362" s="23">
        <f t="shared" si="15"/>
        <v>20</v>
      </c>
      <c r="I362">
        <v>16</v>
      </c>
      <c r="J362" s="23">
        <f t="shared" si="16"/>
        <v>16</v>
      </c>
      <c r="K362">
        <f t="shared" si="17"/>
        <v>4</v>
      </c>
    </row>
    <row r="363" spans="3:11" ht="16" x14ac:dyDescent="0.45">
      <c r="C363" t="s">
        <v>1072</v>
      </c>
      <c r="E363" t="s">
        <v>955</v>
      </c>
      <c r="F363">
        <v>1</v>
      </c>
      <c r="G363">
        <v>20</v>
      </c>
      <c r="H363" s="23">
        <f t="shared" si="15"/>
        <v>20</v>
      </c>
      <c r="I363">
        <v>12</v>
      </c>
      <c r="J363" s="23">
        <f t="shared" si="16"/>
        <v>12</v>
      </c>
      <c r="K363">
        <f t="shared" si="17"/>
        <v>8</v>
      </c>
    </row>
    <row r="364" spans="3:11" ht="16" x14ac:dyDescent="0.45">
      <c r="E364" t="s">
        <v>1041</v>
      </c>
      <c r="F364">
        <v>1</v>
      </c>
      <c r="G364">
        <v>10</v>
      </c>
      <c r="H364" s="23">
        <f t="shared" si="15"/>
        <v>10</v>
      </c>
      <c r="I364">
        <v>2</v>
      </c>
      <c r="J364" s="23">
        <f t="shared" si="16"/>
        <v>2</v>
      </c>
      <c r="K364">
        <f t="shared" si="17"/>
        <v>8</v>
      </c>
    </row>
    <row r="365" spans="3:11" ht="16" x14ac:dyDescent="0.45">
      <c r="E365" t="s">
        <v>964</v>
      </c>
      <c r="F365">
        <v>1</v>
      </c>
      <c r="G365">
        <v>10</v>
      </c>
      <c r="H365" s="23">
        <f t="shared" si="15"/>
        <v>10</v>
      </c>
      <c r="I365">
        <v>2.2999999999999998</v>
      </c>
      <c r="J365" s="23">
        <f t="shared" si="16"/>
        <v>2.2999999999999998</v>
      </c>
      <c r="K365">
        <f t="shared" si="17"/>
        <v>7.7</v>
      </c>
    </row>
    <row r="366" spans="3:11" ht="16" x14ac:dyDescent="0.45">
      <c r="E366" t="s">
        <v>935</v>
      </c>
      <c r="F366">
        <v>10</v>
      </c>
      <c r="G366">
        <v>3</v>
      </c>
      <c r="H366" s="23">
        <f t="shared" si="15"/>
        <v>30</v>
      </c>
      <c r="I366">
        <v>1.3</v>
      </c>
      <c r="J366" s="23">
        <f t="shared" si="16"/>
        <v>13</v>
      </c>
      <c r="K366">
        <f t="shared" si="17"/>
        <v>17</v>
      </c>
    </row>
    <row r="367" spans="3:11" ht="16" x14ac:dyDescent="0.45">
      <c r="E367" t="s">
        <v>1073</v>
      </c>
      <c r="F367">
        <v>1</v>
      </c>
      <c r="G367">
        <v>10</v>
      </c>
      <c r="H367" s="23">
        <f t="shared" si="15"/>
        <v>10</v>
      </c>
      <c r="I367">
        <v>2.9</v>
      </c>
      <c r="J367" s="23">
        <f t="shared" si="16"/>
        <v>2.9</v>
      </c>
      <c r="K367">
        <f t="shared" si="17"/>
        <v>7.1</v>
      </c>
    </row>
    <row r="368" spans="3:11" ht="16" x14ac:dyDescent="0.45">
      <c r="E368" t="s">
        <v>952</v>
      </c>
      <c r="F368">
        <v>4</v>
      </c>
      <c r="G368">
        <v>5</v>
      </c>
      <c r="H368" s="23">
        <f t="shared" si="15"/>
        <v>20</v>
      </c>
      <c r="I368">
        <v>0.9</v>
      </c>
      <c r="J368" s="23">
        <f t="shared" si="16"/>
        <v>3.6</v>
      </c>
      <c r="K368">
        <f t="shared" si="17"/>
        <v>16.399999999999999</v>
      </c>
    </row>
    <row r="369" spans="3:11" ht="16" x14ac:dyDescent="0.45">
      <c r="E369" t="s">
        <v>1074</v>
      </c>
      <c r="F369">
        <v>1</v>
      </c>
      <c r="G369">
        <v>50</v>
      </c>
      <c r="H369" s="23">
        <f t="shared" si="15"/>
        <v>50</v>
      </c>
      <c r="I369">
        <v>22</v>
      </c>
      <c r="J369" s="23">
        <f t="shared" si="16"/>
        <v>22</v>
      </c>
      <c r="K369">
        <f t="shared" si="17"/>
        <v>28</v>
      </c>
    </row>
    <row r="370" spans="3:11" ht="16" x14ac:dyDescent="0.45">
      <c r="E370" t="s">
        <v>1075</v>
      </c>
      <c r="F370">
        <v>1</v>
      </c>
      <c r="G370">
        <v>50</v>
      </c>
      <c r="H370" s="23">
        <f t="shared" si="15"/>
        <v>50</v>
      </c>
      <c r="I370">
        <v>15</v>
      </c>
      <c r="J370" s="23">
        <f t="shared" si="16"/>
        <v>15</v>
      </c>
      <c r="K370">
        <f t="shared" si="17"/>
        <v>35</v>
      </c>
    </row>
    <row r="371" spans="3:11" ht="16" x14ac:dyDescent="0.45">
      <c r="E371" t="s">
        <v>1076</v>
      </c>
      <c r="F371">
        <v>1</v>
      </c>
      <c r="G371">
        <v>50</v>
      </c>
      <c r="H371" s="23">
        <f t="shared" si="15"/>
        <v>50</v>
      </c>
      <c r="I371">
        <v>32</v>
      </c>
      <c r="J371" s="23">
        <f t="shared" si="16"/>
        <v>32</v>
      </c>
      <c r="K371">
        <f t="shared" si="17"/>
        <v>18</v>
      </c>
    </row>
    <row r="372" spans="3:11" ht="16" x14ac:dyDescent="0.45">
      <c r="E372" t="s">
        <v>1077</v>
      </c>
      <c r="F372">
        <v>1</v>
      </c>
      <c r="G372">
        <v>100</v>
      </c>
      <c r="H372" s="23">
        <f t="shared" si="15"/>
        <v>100</v>
      </c>
      <c r="I372">
        <v>35</v>
      </c>
      <c r="J372" s="23">
        <f t="shared" si="16"/>
        <v>35</v>
      </c>
      <c r="K372">
        <f t="shared" si="17"/>
        <v>65</v>
      </c>
    </row>
    <row r="373" spans="3:11" ht="16" x14ac:dyDescent="0.45">
      <c r="E373" t="s">
        <v>950</v>
      </c>
      <c r="F373">
        <v>2</v>
      </c>
      <c r="G373">
        <v>10</v>
      </c>
      <c r="H373" s="23">
        <f t="shared" si="15"/>
        <v>20</v>
      </c>
      <c r="I373">
        <v>7</v>
      </c>
      <c r="J373" s="23">
        <f t="shared" si="16"/>
        <v>14</v>
      </c>
      <c r="K373">
        <f t="shared" si="17"/>
        <v>6</v>
      </c>
    </row>
    <row r="374" spans="3:11" ht="16" x14ac:dyDescent="0.45">
      <c r="E374" t="s">
        <v>959</v>
      </c>
      <c r="F374">
        <v>2</v>
      </c>
      <c r="G374">
        <v>20</v>
      </c>
      <c r="H374" s="23">
        <f t="shared" si="15"/>
        <v>40</v>
      </c>
      <c r="I374">
        <v>8.8000000000000007</v>
      </c>
      <c r="J374" s="23">
        <f t="shared" si="16"/>
        <v>17.600000000000001</v>
      </c>
      <c r="K374">
        <f t="shared" si="17"/>
        <v>22.4</v>
      </c>
    </row>
    <row r="375" spans="3:11" ht="16" x14ac:dyDescent="0.45">
      <c r="E375" t="s">
        <v>933</v>
      </c>
      <c r="F375">
        <v>4</v>
      </c>
      <c r="G375">
        <v>5</v>
      </c>
      <c r="H375" s="23">
        <f t="shared" si="15"/>
        <v>20</v>
      </c>
      <c r="I375">
        <v>0.9</v>
      </c>
      <c r="J375" s="23">
        <f t="shared" si="16"/>
        <v>3.6</v>
      </c>
      <c r="K375">
        <f t="shared" si="17"/>
        <v>16.399999999999999</v>
      </c>
    </row>
    <row r="376" spans="3:11" ht="16" x14ac:dyDescent="0.45">
      <c r="C376" t="s">
        <v>1078</v>
      </c>
      <c r="E376" t="s">
        <v>981</v>
      </c>
      <c r="F376">
        <v>2</v>
      </c>
      <c r="G376">
        <v>5</v>
      </c>
      <c r="H376" s="23">
        <f t="shared" si="15"/>
        <v>10</v>
      </c>
      <c r="I376">
        <v>0.65</v>
      </c>
      <c r="J376" s="23">
        <f t="shared" si="16"/>
        <v>1.3</v>
      </c>
      <c r="K376">
        <f t="shared" si="17"/>
        <v>8.6999999999999993</v>
      </c>
    </row>
    <row r="377" spans="3:11" ht="16" x14ac:dyDescent="0.45">
      <c r="E377" t="s">
        <v>1061</v>
      </c>
      <c r="F377">
        <v>10</v>
      </c>
      <c r="G377">
        <v>3</v>
      </c>
      <c r="H377" s="23">
        <f t="shared" si="15"/>
        <v>30</v>
      </c>
      <c r="I377">
        <v>1.3</v>
      </c>
      <c r="J377" s="23">
        <f t="shared" si="16"/>
        <v>13</v>
      </c>
      <c r="K377">
        <f t="shared" si="17"/>
        <v>17</v>
      </c>
    </row>
    <row r="378" spans="3:11" ht="16" x14ac:dyDescent="0.45">
      <c r="E378" t="s">
        <v>960</v>
      </c>
      <c r="F378">
        <v>2</v>
      </c>
      <c r="G378">
        <v>25</v>
      </c>
      <c r="H378" s="23">
        <f t="shared" si="15"/>
        <v>50</v>
      </c>
      <c r="I378">
        <v>17</v>
      </c>
      <c r="J378" s="23">
        <f t="shared" si="16"/>
        <v>34</v>
      </c>
      <c r="K378">
        <f t="shared" si="17"/>
        <v>16</v>
      </c>
    </row>
    <row r="379" spans="3:11" ht="16" x14ac:dyDescent="0.45">
      <c r="E379" t="s">
        <v>954</v>
      </c>
      <c r="F379">
        <v>2</v>
      </c>
      <c r="G379">
        <v>20</v>
      </c>
      <c r="H379" s="23">
        <f t="shared" si="15"/>
        <v>40</v>
      </c>
      <c r="I379">
        <v>14</v>
      </c>
      <c r="J379" s="23">
        <f t="shared" si="16"/>
        <v>28</v>
      </c>
      <c r="K379">
        <f t="shared" si="17"/>
        <v>12</v>
      </c>
    </row>
    <row r="380" spans="3:11" ht="16" x14ac:dyDescent="0.45">
      <c r="E380" t="s">
        <v>967</v>
      </c>
      <c r="F380">
        <v>10</v>
      </c>
      <c r="G380">
        <v>10</v>
      </c>
      <c r="H380" s="23">
        <f t="shared" si="15"/>
        <v>100</v>
      </c>
      <c r="I380">
        <v>2.9</v>
      </c>
      <c r="J380" s="23">
        <f t="shared" si="16"/>
        <v>29</v>
      </c>
      <c r="K380">
        <f t="shared" si="17"/>
        <v>71</v>
      </c>
    </row>
    <row r="381" spans="3:11" ht="16" x14ac:dyDescent="0.45">
      <c r="E381" t="s">
        <v>968</v>
      </c>
      <c r="F381">
        <v>15</v>
      </c>
      <c r="G381">
        <v>6</v>
      </c>
      <c r="H381" s="23">
        <f t="shared" si="15"/>
        <v>90</v>
      </c>
      <c r="I381">
        <v>1.2</v>
      </c>
      <c r="J381" s="23">
        <f t="shared" si="16"/>
        <v>18</v>
      </c>
      <c r="K381">
        <f t="shared" si="17"/>
        <v>72</v>
      </c>
    </row>
    <row r="382" spans="3:11" ht="16" x14ac:dyDescent="0.45">
      <c r="E382" t="s">
        <v>944</v>
      </c>
      <c r="F382">
        <v>10</v>
      </c>
      <c r="G382">
        <v>2</v>
      </c>
      <c r="H382" s="23">
        <f t="shared" si="15"/>
        <v>20</v>
      </c>
      <c r="I382">
        <v>0.9</v>
      </c>
      <c r="J382" s="23">
        <f t="shared" si="16"/>
        <v>9</v>
      </c>
      <c r="K382">
        <f t="shared" si="17"/>
        <v>11</v>
      </c>
    </row>
    <row r="383" spans="3:11" ht="16" x14ac:dyDescent="0.45">
      <c r="E383" t="s">
        <v>938</v>
      </c>
      <c r="F383">
        <v>2</v>
      </c>
      <c r="G383">
        <v>20</v>
      </c>
      <c r="H383" s="23">
        <f t="shared" si="15"/>
        <v>40</v>
      </c>
      <c r="I383">
        <v>10</v>
      </c>
      <c r="J383" s="23">
        <f t="shared" si="16"/>
        <v>20</v>
      </c>
      <c r="K383">
        <f t="shared" si="17"/>
        <v>20</v>
      </c>
    </row>
    <row r="384" spans="3:11" ht="16" x14ac:dyDescent="0.45">
      <c r="E384" t="s">
        <v>973</v>
      </c>
      <c r="F384">
        <v>1</v>
      </c>
      <c r="G384">
        <v>50</v>
      </c>
      <c r="H384" s="23">
        <f t="shared" si="15"/>
        <v>50</v>
      </c>
      <c r="I384">
        <v>10</v>
      </c>
      <c r="J384" s="23">
        <f t="shared" si="16"/>
        <v>10</v>
      </c>
      <c r="K384">
        <f t="shared" si="17"/>
        <v>40</v>
      </c>
    </row>
    <row r="385" spans="3:11" ht="16" x14ac:dyDescent="0.45">
      <c r="E385" t="s">
        <v>1075</v>
      </c>
      <c r="F385">
        <v>1</v>
      </c>
      <c r="G385">
        <v>50</v>
      </c>
      <c r="H385" s="23">
        <f t="shared" si="15"/>
        <v>50</v>
      </c>
      <c r="I385">
        <v>15</v>
      </c>
      <c r="J385" s="23">
        <f t="shared" si="16"/>
        <v>15</v>
      </c>
      <c r="K385">
        <f t="shared" si="17"/>
        <v>35</v>
      </c>
    </row>
    <row r="386" spans="3:11" ht="16" x14ac:dyDescent="0.45">
      <c r="E386" t="s">
        <v>1079</v>
      </c>
      <c r="F386">
        <v>1</v>
      </c>
      <c r="G386">
        <v>50</v>
      </c>
      <c r="H386" s="23">
        <f t="shared" si="15"/>
        <v>50</v>
      </c>
      <c r="I386">
        <v>28</v>
      </c>
      <c r="J386" s="23">
        <f t="shared" si="16"/>
        <v>28</v>
      </c>
      <c r="K386">
        <f t="shared" si="17"/>
        <v>22</v>
      </c>
    </row>
    <row r="387" spans="3:11" ht="16" x14ac:dyDescent="0.45">
      <c r="E387" t="s">
        <v>993</v>
      </c>
      <c r="F387">
        <v>1</v>
      </c>
      <c r="G387">
        <v>50</v>
      </c>
      <c r="H387" s="23">
        <f t="shared" si="15"/>
        <v>50</v>
      </c>
      <c r="I387">
        <v>25</v>
      </c>
      <c r="J387" s="23">
        <f t="shared" si="16"/>
        <v>25</v>
      </c>
      <c r="K387">
        <f t="shared" si="17"/>
        <v>25</v>
      </c>
    </row>
    <row r="388" spans="3:11" ht="16" x14ac:dyDescent="0.45">
      <c r="E388" t="s">
        <v>957</v>
      </c>
      <c r="F388">
        <v>10</v>
      </c>
      <c r="G388">
        <v>2</v>
      </c>
      <c r="H388" s="23">
        <f t="shared" si="15"/>
        <v>20</v>
      </c>
      <c r="I388">
        <v>0.65</v>
      </c>
      <c r="J388" s="23">
        <f t="shared" si="16"/>
        <v>6.5</v>
      </c>
      <c r="K388">
        <f t="shared" si="17"/>
        <v>13.5</v>
      </c>
    </row>
    <row r="389" spans="3:11" ht="16" x14ac:dyDescent="0.45">
      <c r="E389" t="s">
        <v>1081</v>
      </c>
      <c r="F389">
        <v>10</v>
      </c>
      <c r="G389">
        <v>3</v>
      </c>
      <c r="H389" s="23">
        <f t="shared" si="15"/>
        <v>30</v>
      </c>
      <c r="I389">
        <v>0.45</v>
      </c>
      <c r="J389" s="23">
        <f t="shared" si="16"/>
        <v>4.5</v>
      </c>
      <c r="K389">
        <f t="shared" si="17"/>
        <v>25.5</v>
      </c>
    </row>
    <row r="390" spans="3:11" ht="16" x14ac:dyDescent="0.45">
      <c r="H390" s="23">
        <f t="shared" ref="H390:H453" si="18">F390*G390</f>
        <v>0</v>
      </c>
      <c r="J390" s="23">
        <f t="shared" ref="J390:J453" si="19">F390*I390</f>
        <v>0</v>
      </c>
      <c r="K390">
        <f t="shared" ref="K390:K453" si="20">H390-J390</f>
        <v>0</v>
      </c>
    </row>
    <row r="391" spans="3:11" s="27" customFormat="1" ht="16" x14ac:dyDescent="0.45">
      <c r="E391" s="28" t="s">
        <v>1082</v>
      </c>
      <c r="H391" s="29">
        <f>ROUND(SUM(H1:H389),0)</f>
        <v>22398</v>
      </c>
      <c r="J391" s="29">
        <f>ROUND(SUM(J5:J390),0)</f>
        <v>11150</v>
      </c>
      <c r="K391" s="27">
        <f>ROUND(SUM(K5:K390),0)</f>
        <v>11248</v>
      </c>
    </row>
    <row r="392" spans="3:11" ht="16" x14ac:dyDescent="0.45">
      <c r="C392" s="20" t="s">
        <v>1083</v>
      </c>
      <c r="H392" s="23"/>
      <c r="J392" s="23"/>
      <c r="K392">
        <f t="shared" si="20"/>
        <v>0</v>
      </c>
    </row>
    <row r="393" spans="3:11" ht="16" x14ac:dyDescent="0.45">
      <c r="C393" s="21">
        <v>46030</v>
      </c>
      <c r="E393" t="s">
        <v>1075</v>
      </c>
      <c r="F393">
        <v>1</v>
      </c>
      <c r="G393">
        <v>50</v>
      </c>
      <c r="H393" s="23">
        <f t="shared" si="18"/>
        <v>50</v>
      </c>
      <c r="I393">
        <v>15</v>
      </c>
      <c r="J393" s="23">
        <f t="shared" si="19"/>
        <v>15</v>
      </c>
      <c r="K393">
        <f t="shared" si="20"/>
        <v>35</v>
      </c>
    </row>
    <row r="394" spans="3:11" ht="16" x14ac:dyDescent="0.45">
      <c r="E394" t="s">
        <v>1090</v>
      </c>
      <c r="F394">
        <v>1</v>
      </c>
      <c r="G394">
        <v>100</v>
      </c>
      <c r="H394" s="23">
        <f t="shared" si="18"/>
        <v>100</v>
      </c>
      <c r="I394">
        <v>45</v>
      </c>
      <c r="J394" s="23">
        <f t="shared" si="19"/>
        <v>45</v>
      </c>
      <c r="K394">
        <f t="shared" si="20"/>
        <v>55</v>
      </c>
    </row>
    <row r="395" spans="3:11" ht="16" x14ac:dyDescent="0.45">
      <c r="E395" t="s">
        <v>959</v>
      </c>
      <c r="F395">
        <v>1</v>
      </c>
      <c r="G395">
        <v>20</v>
      </c>
      <c r="H395" s="23">
        <f t="shared" si="18"/>
        <v>20</v>
      </c>
      <c r="I395">
        <v>8.8000000000000007</v>
      </c>
      <c r="J395" s="23">
        <f t="shared" si="19"/>
        <v>8.8000000000000007</v>
      </c>
      <c r="K395">
        <f t="shared" si="20"/>
        <v>11.2</v>
      </c>
    </row>
    <row r="396" spans="3:11" ht="16" x14ac:dyDescent="0.45">
      <c r="E396" t="s">
        <v>991</v>
      </c>
      <c r="F396">
        <v>1</v>
      </c>
      <c r="G396">
        <v>20</v>
      </c>
      <c r="H396" s="23">
        <f t="shared" si="18"/>
        <v>20</v>
      </c>
      <c r="I396">
        <v>16</v>
      </c>
      <c r="J396" s="23">
        <f t="shared" si="19"/>
        <v>16</v>
      </c>
      <c r="K396">
        <f t="shared" si="20"/>
        <v>4</v>
      </c>
    </row>
    <row r="397" spans="3:11" ht="16" x14ac:dyDescent="0.45">
      <c r="E397" t="s">
        <v>977</v>
      </c>
      <c r="F397">
        <v>1</v>
      </c>
      <c r="G397">
        <v>200</v>
      </c>
      <c r="H397" s="23">
        <f t="shared" si="18"/>
        <v>200</v>
      </c>
      <c r="I397">
        <v>165</v>
      </c>
      <c r="J397" s="23">
        <f t="shared" si="19"/>
        <v>165</v>
      </c>
      <c r="K397">
        <f t="shared" si="20"/>
        <v>35</v>
      </c>
    </row>
    <row r="398" spans="3:11" ht="16" x14ac:dyDescent="0.45">
      <c r="E398" t="s">
        <v>964</v>
      </c>
      <c r="F398">
        <v>2</v>
      </c>
      <c r="G398">
        <v>10</v>
      </c>
      <c r="H398" s="23">
        <f t="shared" si="18"/>
        <v>20</v>
      </c>
      <c r="I398">
        <v>2.2999999999999998</v>
      </c>
      <c r="J398" s="23">
        <f t="shared" si="19"/>
        <v>4.5999999999999996</v>
      </c>
      <c r="K398">
        <f t="shared" si="20"/>
        <v>15.4</v>
      </c>
    </row>
    <row r="399" spans="3:11" ht="16" x14ac:dyDescent="0.45">
      <c r="E399" t="s">
        <v>949</v>
      </c>
      <c r="F399">
        <v>2</v>
      </c>
      <c r="G399">
        <v>20</v>
      </c>
      <c r="H399" s="23">
        <f t="shared" si="18"/>
        <v>40</v>
      </c>
      <c r="I399">
        <v>10.5</v>
      </c>
      <c r="J399" s="23">
        <f t="shared" si="19"/>
        <v>21</v>
      </c>
      <c r="K399">
        <f t="shared" si="20"/>
        <v>19</v>
      </c>
    </row>
    <row r="400" spans="3:11" ht="16" x14ac:dyDescent="0.45">
      <c r="E400" t="s">
        <v>1098</v>
      </c>
      <c r="F400">
        <v>2</v>
      </c>
      <c r="G400">
        <v>30</v>
      </c>
      <c r="H400" s="23">
        <f t="shared" si="18"/>
        <v>60</v>
      </c>
      <c r="I400">
        <v>27</v>
      </c>
      <c r="J400" s="23">
        <f t="shared" si="19"/>
        <v>54</v>
      </c>
      <c r="K400">
        <f t="shared" si="20"/>
        <v>6</v>
      </c>
    </row>
    <row r="401" spans="3:11" ht="16" x14ac:dyDescent="0.45">
      <c r="E401" t="s">
        <v>938</v>
      </c>
      <c r="F401">
        <v>4</v>
      </c>
      <c r="G401">
        <v>20</v>
      </c>
      <c r="H401" s="23">
        <f t="shared" si="18"/>
        <v>80</v>
      </c>
      <c r="I401">
        <v>10</v>
      </c>
      <c r="J401" s="23">
        <f t="shared" si="19"/>
        <v>40</v>
      </c>
      <c r="K401">
        <f t="shared" si="20"/>
        <v>40</v>
      </c>
    </row>
    <row r="402" spans="3:11" ht="16" x14ac:dyDescent="0.45">
      <c r="E402" t="s">
        <v>973</v>
      </c>
      <c r="F402">
        <v>1</v>
      </c>
      <c r="G402">
        <v>50</v>
      </c>
      <c r="H402" s="23">
        <f t="shared" si="18"/>
        <v>50</v>
      </c>
      <c r="I402">
        <v>10</v>
      </c>
      <c r="J402" s="23">
        <f t="shared" si="19"/>
        <v>10</v>
      </c>
      <c r="K402">
        <f t="shared" si="20"/>
        <v>40</v>
      </c>
    </row>
    <row r="403" spans="3:11" ht="16" x14ac:dyDescent="0.45">
      <c r="E403" t="s">
        <v>988</v>
      </c>
      <c r="F403">
        <v>1</v>
      </c>
      <c r="G403">
        <v>150</v>
      </c>
      <c r="H403" s="23">
        <f t="shared" si="18"/>
        <v>150</v>
      </c>
      <c r="I403">
        <v>100</v>
      </c>
      <c r="J403" s="23">
        <f t="shared" si="19"/>
        <v>100</v>
      </c>
      <c r="K403">
        <f t="shared" si="20"/>
        <v>50</v>
      </c>
    </row>
    <row r="404" spans="3:11" ht="16" x14ac:dyDescent="0.45">
      <c r="E404" t="s">
        <v>987</v>
      </c>
      <c r="F404">
        <v>1</v>
      </c>
      <c r="G404">
        <v>100</v>
      </c>
      <c r="H404" s="23">
        <f t="shared" si="18"/>
        <v>100</v>
      </c>
      <c r="I404">
        <v>22</v>
      </c>
      <c r="J404" s="23">
        <f t="shared" si="19"/>
        <v>22</v>
      </c>
      <c r="K404">
        <f t="shared" si="20"/>
        <v>78</v>
      </c>
    </row>
    <row r="405" spans="3:11" ht="16" x14ac:dyDescent="0.45">
      <c r="E405" t="s">
        <v>1022</v>
      </c>
      <c r="F405">
        <v>1</v>
      </c>
      <c r="G405">
        <v>50</v>
      </c>
      <c r="H405" s="23">
        <f t="shared" si="18"/>
        <v>50</v>
      </c>
      <c r="I405">
        <v>22</v>
      </c>
      <c r="J405" s="23">
        <f t="shared" si="19"/>
        <v>22</v>
      </c>
      <c r="K405">
        <f t="shared" si="20"/>
        <v>28</v>
      </c>
    </row>
    <row r="406" spans="3:11" ht="16" x14ac:dyDescent="0.45">
      <c r="E406" t="s">
        <v>1075</v>
      </c>
      <c r="F406">
        <v>2</v>
      </c>
      <c r="G406">
        <v>50</v>
      </c>
      <c r="H406" s="23">
        <f t="shared" si="18"/>
        <v>100</v>
      </c>
      <c r="I406">
        <v>15</v>
      </c>
      <c r="J406" s="23">
        <f t="shared" si="19"/>
        <v>30</v>
      </c>
      <c r="K406">
        <f t="shared" si="20"/>
        <v>70</v>
      </c>
    </row>
    <row r="407" spans="3:11" ht="16" x14ac:dyDescent="0.45">
      <c r="E407" t="s">
        <v>696</v>
      </c>
      <c r="F407">
        <v>1</v>
      </c>
      <c r="G407">
        <v>100</v>
      </c>
      <c r="H407" s="23">
        <f t="shared" si="18"/>
        <v>100</v>
      </c>
      <c r="I407">
        <v>20</v>
      </c>
      <c r="J407" s="23">
        <f t="shared" si="19"/>
        <v>20</v>
      </c>
      <c r="K407">
        <f t="shared" si="20"/>
        <v>80</v>
      </c>
    </row>
    <row r="408" spans="3:11" ht="16" x14ac:dyDescent="0.45">
      <c r="E408" t="s">
        <v>1044</v>
      </c>
      <c r="F408">
        <v>10</v>
      </c>
      <c r="G408">
        <v>10</v>
      </c>
      <c r="H408" s="23">
        <f t="shared" si="18"/>
        <v>100</v>
      </c>
      <c r="I408">
        <v>6</v>
      </c>
      <c r="J408" s="23">
        <f t="shared" si="19"/>
        <v>60</v>
      </c>
      <c r="K408">
        <f t="shared" si="20"/>
        <v>40</v>
      </c>
    </row>
    <row r="409" spans="3:11" ht="16" x14ac:dyDescent="0.45">
      <c r="E409" t="s">
        <v>1099</v>
      </c>
      <c r="F409">
        <v>1</v>
      </c>
      <c r="G409">
        <v>100</v>
      </c>
      <c r="H409" s="23">
        <f t="shared" si="18"/>
        <v>100</v>
      </c>
      <c r="I409">
        <v>40</v>
      </c>
      <c r="J409" s="23">
        <f t="shared" si="19"/>
        <v>40</v>
      </c>
      <c r="K409">
        <f t="shared" si="20"/>
        <v>60</v>
      </c>
    </row>
    <row r="410" spans="3:11" ht="16" x14ac:dyDescent="0.45">
      <c r="E410" t="s">
        <v>981</v>
      </c>
      <c r="F410">
        <v>2</v>
      </c>
      <c r="G410">
        <v>5</v>
      </c>
      <c r="H410" s="23">
        <f t="shared" si="18"/>
        <v>10</v>
      </c>
      <c r="I410">
        <v>0.65</v>
      </c>
      <c r="J410" s="23">
        <f t="shared" si="19"/>
        <v>1.3</v>
      </c>
      <c r="K410">
        <f t="shared" si="20"/>
        <v>8.6999999999999993</v>
      </c>
    </row>
    <row r="411" spans="3:11" ht="16" x14ac:dyDescent="0.45">
      <c r="E411" t="s">
        <v>1100</v>
      </c>
      <c r="F411">
        <v>6</v>
      </c>
      <c r="G411">
        <v>15</v>
      </c>
      <c r="H411" s="23">
        <f t="shared" si="18"/>
        <v>90</v>
      </c>
      <c r="I411">
        <v>8</v>
      </c>
      <c r="J411" s="23">
        <f t="shared" si="19"/>
        <v>48</v>
      </c>
      <c r="K411">
        <f t="shared" si="20"/>
        <v>42</v>
      </c>
    </row>
    <row r="412" spans="3:11" ht="16" x14ac:dyDescent="0.45">
      <c r="E412" t="s">
        <v>952</v>
      </c>
      <c r="F412">
        <v>8</v>
      </c>
      <c r="G412">
        <v>5</v>
      </c>
      <c r="H412" s="23">
        <f t="shared" si="18"/>
        <v>40</v>
      </c>
      <c r="I412">
        <v>0.9</v>
      </c>
      <c r="J412" s="23">
        <f t="shared" si="19"/>
        <v>7.2</v>
      </c>
      <c r="K412">
        <f t="shared" si="20"/>
        <v>32.799999999999997</v>
      </c>
    </row>
    <row r="413" spans="3:11" ht="16" x14ac:dyDescent="0.45">
      <c r="C413" s="21">
        <v>46061</v>
      </c>
      <c r="E413" t="s">
        <v>1101</v>
      </c>
      <c r="F413">
        <v>2</v>
      </c>
      <c r="G413">
        <v>5</v>
      </c>
      <c r="H413" s="23">
        <f t="shared" si="18"/>
        <v>10</v>
      </c>
      <c r="I413">
        <v>0.65</v>
      </c>
      <c r="J413" s="23">
        <f t="shared" si="19"/>
        <v>1.3</v>
      </c>
      <c r="K413">
        <f t="shared" si="20"/>
        <v>8.6999999999999993</v>
      </c>
    </row>
    <row r="414" spans="3:11" ht="16" x14ac:dyDescent="0.45">
      <c r="E414" t="s">
        <v>1041</v>
      </c>
      <c r="F414">
        <v>4</v>
      </c>
      <c r="G414">
        <v>5</v>
      </c>
      <c r="H414" s="23">
        <f t="shared" si="18"/>
        <v>20</v>
      </c>
      <c r="I414">
        <v>0.9</v>
      </c>
      <c r="J414" s="23">
        <f t="shared" si="19"/>
        <v>3.6</v>
      </c>
      <c r="K414">
        <f t="shared" si="20"/>
        <v>16.399999999999999</v>
      </c>
    </row>
    <row r="415" spans="3:11" ht="16" x14ac:dyDescent="0.45">
      <c r="E415" t="s">
        <v>1058</v>
      </c>
      <c r="F415">
        <v>1</v>
      </c>
      <c r="G415">
        <v>150</v>
      </c>
      <c r="H415" s="23">
        <f t="shared" si="18"/>
        <v>150</v>
      </c>
      <c r="I415">
        <v>58</v>
      </c>
      <c r="J415" s="23">
        <f t="shared" si="19"/>
        <v>58</v>
      </c>
      <c r="K415">
        <f t="shared" si="20"/>
        <v>92</v>
      </c>
    </row>
    <row r="416" spans="3:11" ht="16" x14ac:dyDescent="0.45">
      <c r="E416" t="s">
        <v>952</v>
      </c>
      <c r="F416">
        <v>1</v>
      </c>
      <c r="G416">
        <v>50</v>
      </c>
      <c r="H416" s="23">
        <f t="shared" si="18"/>
        <v>50</v>
      </c>
      <c r="I416">
        <v>25</v>
      </c>
      <c r="J416" s="23">
        <f t="shared" si="19"/>
        <v>25</v>
      </c>
      <c r="K416">
        <f t="shared" si="20"/>
        <v>25</v>
      </c>
    </row>
    <row r="417" spans="3:11" ht="16" x14ac:dyDescent="0.45">
      <c r="E417" t="s">
        <v>950</v>
      </c>
      <c r="F417">
        <v>2</v>
      </c>
      <c r="G417">
        <v>10</v>
      </c>
      <c r="H417" s="23">
        <f t="shared" si="18"/>
        <v>20</v>
      </c>
      <c r="I417">
        <v>7</v>
      </c>
      <c r="J417" s="23">
        <f t="shared" si="19"/>
        <v>14</v>
      </c>
      <c r="K417">
        <f t="shared" si="20"/>
        <v>6</v>
      </c>
    </row>
    <row r="418" spans="3:11" ht="16" x14ac:dyDescent="0.45">
      <c r="E418" t="s">
        <v>1100</v>
      </c>
      <c r="F418">
        <v>4</v>
      </c>
      <c r="G418">
        <v>15</v>
      </c>
      <c r="H418" s="23">
        <f t="shared" si="18"/>
        <v>60</v>
      </c>
      <c r="I418">
        <v>8</v>
      </c>
      <c r="J418" s="23">
        <f t="shared" si="19"/>
        <v>32</v>
      </c>
      <c r="K418">
        <f t="shared" si="20"/>
        <v>28</v>
      </c>
    </row>
    <row r="419" spans="3:11" ht="16" x14ac:dyDescent="0.45">
      <c r="C419" s="21">
        <v>46089</v>
      </c>
      <c r="E419" t="s">
        <v>1053</v>
      </c>
      <c r="F419">
        <v>10</v>
      </c>
      <c r="G419">
        <v>10</v>
      </c>
      <c r="H419" s="23">
        <f t="shared" si="18"/>
        <v>100</v>
      </c>
      <c r="I419">
        <v>4.5</v>
      </c>
      <c r="J419" s="23">
        <f t="shared" si="19"/>
        <v>45</v>
      </c>
      <c r="K419">
        <f t="shared" si="20"/>
        <v>55</v>
      </c>
    </row>
    <row r="420" spans="3:11" ht="16" x14ac:dyDescent="0.45">
      <c r="E420" t="s">
        <v>938</v>
      </c>
      <c r="F420">
        <v>2</v>
      </c>
      <c r="G420">
        <v>15</v>
      </c>
      <c r="H420" s="23">
        <f t="shared" si="18"/>
        <v>30</v>
      </c>
      <c r="I420">
        <v>10</v>
      </c>
      <c r="J420" s="23">
        <f t="shared" si="19"/>
        <v>20</v>
      </c>
      <c r="K420">
        <f t="shared" si="20"/>
        <v>10</v>
      </c>
    </row>
    <row r="421" spans="3:11" ht="16" x14ac:dyDescent="0.45">
      <c r="E421" t="s">
        <v>960</v>
      </c>
      <c r="F421">
        <v>1</v>
      </c>
      <c r="G421">
        <v>30</v>
      </c>
      <c r="H421" s="23">
        <f t="shared" si="18"/>
        <v>30</v>
      </c>
      <c r="I421">
        <v>17</v>
      </c>
      <c r="J421" s="23">
        <f t="shared" si="19"/>
        <v>17</v>
      </c>
      <c r="K421">
        <f t="shared" si="20"/>
        <v>13</v>
      </c>
    </row>
    <row r="422" spans="3:11" ht="16" x14ac:dyDescent="0.45">
      <c r="E422" t="s">
        <v>955</v>
      </c>
      <c r="F422">
        <v>2</v>
      </c>
      <c r="G422">
        <v>20</v>
      </c>
      <c r="H422" s="23">
        <f t="shared" si="18"/>
        <v>40</v>
      </c>
      <c r="I422">
        <v>12</v>
      </c>
      <c r="J422" s="23">
        <f t="shared" si="19"/>
        <v>24</v>
      </c>
      <c r="K422">
        <f t="shared" si="20"/>
        <v>16</v>
      </c>
    </row>
    <row r="423" spans="3:11" ht="16" x14ac:dyDescent="0.45">
      <c r="E423" t="s">
        <v>977</v>
      </c>
      <c r="F423">
        <v>1</v>
      </c>
      <c r="G423">
        <v>200</v>
      </c>
      <c r="H423" s="23">
        <f t="shared" si="18"/>
        <v>200</v>
      </c>
      <c r="I423">
        <v>165</v>
      </c>
      <c r="J423" s="23">
        <f t="shared" si="19"/>
        <v>165</v>
      </c>
      <c r="K423">
        <f t="shared" si="20"/>
        <v>35</v>
      </c>
    </row>
    <row r="424" spans="3:11" ht="16" x14ac:dyDescent="0.45">
      <c r="E424" t="s">
        <v>1075</v>
      </c>
      <c r="F424">
        <v>1</v>
      </c>
      <c r="G424">
        <v>50</v>
      </c>
      <c r="H424" s="23">
        <f t="shared" si="18"/>
        <v>50</v>
      </c>
      <c r="I424">
        <v>15</v>
      </c>
      <c r="J424" s="23">
        <f t="shared" si="19"/>
        <v>15</v>
      </c>
      <c r="K424">
        <f t="shared" si="20"/>
        <v>35</v>
      </c>
    </row>
    <row r="425" spans="3:11" ht="16" x14ac:dyDescent="0.45">
      <c r="E425" t="s">
        <v>1102</v>
      </c>
      <c r="F425">
        <v>1</v>
      </c>
      <c r="G425">
        <v>100</v>
      </c>
      <c r="H425" s="23">
        <f t="shared" si="18"/>
        <v>100</v>
      </c>
      <c r="I425">
        <v>50</v>
      </c>
      <c r="J425" s="23">
        <f t="shared" si="19"/>
        <v>50</v>
      </c>
      <c r="K425">
        <f t="shared" si="20"/>
        <v>50</v>
      </c>
    </row>
    <row r="426" spans="3:11" ht="16" x14ac:dyDescent="0.45">
      <c r="E426" t="s">
        <v>1103</v>
      </c>
      <c r="F426">
        <v>1</v>
      </c>
      <c r="G426">
        <v>50</v>
      </c>
      <c r="H426" s="23">
        <f t="shared" si="18"/>
        <v>50</v>
      </c>
      <c r="I426">
        <v>25</v>
      </c>
      <c r="J426" s="23">
        <f t="shared" si="19"/>
        <v>25</v>
      </c>
      <c r="K426">
        <f t="shared" si="20"/>
        <v>25</v>
      </c>
    </row>
    <row r="427" spans="3:11" ht="16" x14ac:dyDescent="0.45">
      <c r="E427" t="s">
        <v>1104</v>
      </c>
      <c r="F427">
        <v>1</v>
      </c>
      <c r="G427">
        <v>100</v>
      </c>
      <c r="H427" s="23">
        <f t="shared" si="18"/>
        <v>100</v>
      </c>
      <c r="I427">
        <v>50</v>
      </c>
      <c r="J427" s="23">
        <f t="shared" si="19"/>
        <v>50</v>
      </c>
      <c r="K427">
        <f t="shared" si="20"/>
        <v>50</v>
      </c>
    </row>
    <row r="428" spans="3:11" ht="16" x14ac:dyDescent="0.45">
      <c r="E428" t="s">
        <v>1105</v>
      </c>
      <c r="F428">
        <v>6</v>
      </c>
      <c r="G428">
        <v>10</v>
      </c>
      <c r="H428" s="23">
        <f t="shared" si="18"/>
        <v>60</v>
      </c>
      <c r="I428">
        <v>3</v>
      </c>
      <c r="J428" s="23">
        <f t="shared" si="19"/>
        <v>18</v>
      </c>
      <c r="K428">
        <f t="shared" si="20"/>
        <v>42</v>
      </c>
    </row>
    <row r="429" spans="3:11" ht="16" x14ac:dyDescent="0.45">
      <c r="C429" s="21">
        <v>46120</v>
      </c>
      <c r="E429" t="s">
        <v>952</v>
      </c>
      <c r="F429">
        <v>1</v>
      </c>
      <c r="G429">
        <v>10</v>
      </c>
      <c r="H429" s="23">
        <f t="shared" si="18"/>
        <v>10</v>
      </c>
      <c r="I429">
        <v>0.9</v>
      </c>
      <c r="J429" s="23">
        <f t="shared" si="19"/>
        <v>0.9</v>
      </c>
      <c r="K429">
        <f t="shared" si="20"/>
        <v>9.1</v>
      </c>
    </row>
    <row r="430" spans="3:11" ht="16" x14ac:dyDescent="0.45">
      <c r="E430" t="s">
        <v>1106</v>
      </c>
      <c r="F430">
        <v>1</v>
      </c>
      <c r="G430">
        <v>100</v>
      </c>
      <c r="H430" s="23">
        <f t="shared" si="18"/>
        <v>100</v>
      </c>
      <c r="I430">
        <v>35</v>
      </c>
      <c r="J430" s="23">
        <f t="shared" si="19"/>
        <v>35</v>
      </c>
      <c r="K430">
        <f t="shared" si="20"/>
        <v>65</v>
      </c>
    </row>
    <row r="431" spans="3:11" ht="16" x14ac:dyDescent="0.45">
      <c r="E431" t="s">
        <v>1107</v>
      </c>
      <c r="F431">
        <v>4</v>
      </c>
      <c r="G431">
        <v>10</v>
      </c>
      <c r="H431" s="23">
        <f t="shared" si="18"/>
        <v>40</v>
      </c>
      <c r="I431">
        <v>3</v>
      </c>
      <c r="J431" s="23">
        <f t="shared" si="19"/>
        <v>12</v>
      </c>
      <c r="K431">
        <f t="shared" si="20"/>
        <v>28</v>
      </c>
    </row>
    <row r="432" spans="3:11" ht="16" x14ac:dyDescent="0.45">
      <c r="E432" t="s">
        <v>988</v>
      </c>
      <c r="F432">
        <v>1</v>
      </c>
      <c r="G432">
        <v>120</v>
      </c>
      <c r="H432" s="23">
        <f t="shared" si="18"/>
        <v>120</v>
      </c>
      <c r="I432">
        <v>100</v>
      </c>
      <c r="J432" s="23">
        <f t="shared" si="19"/>
        <v>100</v>
      </c>
      <c r="K432">
        <f t="shared" si="20"/>
        <v>20</v>
      </c>
    </row>
    <row r="433" spans="3:11" ht="16" x14ac:dyDescent="0.45">
      <c r="E433" t="s">
        <v>1057</v>
      </c>
      <c r="F433">
        <v>5</v>
      </c>
      <c r="G433">
        <v>2</v>
      </c>
      <c r="H433" s="23">
        <f t="shared" si="18"/>
        <v>10</v>
      </c>
      <c r="I433">
        <v>0.35</v>
      </c>
      <c r="J433" s="23">
        <f t="shared" si="19"/>
        <v>1.75</v>
      </c>
      <c r="K433">
        <f t="shared" si="20"/>
        <v>8.25</v>
      </c>
    </row>
    <row r="434" spans="3:11" ht="16" x14ac:dyDescent="0.45">
      <c r="E434" t="s">
        <v>938</v>
      </c>
      <c r="F434">
        <v>2</v>
      </c>
      <c r="G434">
        <v>20</v>
      </c>
      <c r="H434" s="23">
        <f t="shared" si="18"/>
        <v>40</v>
      </c>
      <c r="I434">
        <v>10</v>
      </c>
      <c r="J434" s="23">
        <f t="shared" si="19"/>
        <v>20</v>
      </c>
      <c r="K434">
        <f t="shared" si="20"/>
        <v>20</v>
      </c>
    </row>
    <row r="435" spans="3:11" ht="16" x14ac:dyDescent="0.45">
      <c r="E435" t="s">
        <v>1108</v>
      </c>
      <c r="F435">
        <v>1</v>
      </c>
      <c r="G435">
        <v>150</v>
      </c>
      <c r="H435" s="23">
        <f t="shared" si="18"/>
        <v>150</v>
      </c>
      <c r="I435">
        <v>50</v>
      </c>
      <c r="J435" s="23">
        <f t="shared" si="19"/>
        <v>50</v>
      </c>
      <c r="K435">
        <f t="shared" si="20"/>
        <v>100</v>
      </c>
    </row>
    <row r="436" spans="3:11" ht="16" x14ac:dyDescent="0.45">
      <c r="E436" t="s">
        <v>935</v>
      </c>
      <c r="F436">
        <v>20</v>
      </c>
      <c r="G436">
        <v>3</v>
      </c>
      <c r="H436" s="23">
        <f t="shared" si="18"/>
        <v>60</v>
      </c>
      <c r="I436">
        <v>1.3</v>
      </c>
      <c r="J436" s="23">
        <f t="shared" si="19"/>
        <v>26</v>
      </c>
      <c r="K436">
        <f t="shared" si="20"/>
        <v>34</v>
      </c>
    </row>
    <row r="437" spans="3:11" ht="16" x14ac:dyDescent="0.45">
      <c r="E437" t="s">
        <v>991</v>
      </c>
      <c r="F437">
        <v>2</v>
      </c>
      <c r="G437">
        <v>20</v>
      </c>
      <c r="H437" s="23">
        <f t="shared" si="18"/>
        <v>40</v>
      </c>
      <c r="I437">
        <v>16</v>
      </c>
      <c r="J437" s="23">
        <f t="shared" si="19"/>
        <v>32</v>
      </c>
      <c r="K437">
        <f t="shared" si="20"/>
        <v>8</v>
      </c>
    </row>
    <row r="438" spans="3:11" ht="16" x14ac:dyDescent="0.45">
      <c r="C438" s="21">
        <v>46148</v>
      </c>
      <c r="E438" t="s">
        <v>983</v>
      </c>
      <c r="F438">
        <v>1</v>
      </c>
      <c r="G438">
        <v>150</v>
      </c>
      <c r="H438" s="23">
        <f t="shared" si="18"/>
        <v>150</v>
      </c>
      <c r="I438">
        <v>55</v>
      </c>
      <c r="J438" s="23">
        <f t="shared" si="19"/>
        <v>55</v>
      </c>
      <c r="K438">
        <f t="shared" si="20"/>
        <v>95</v>
      </c>
    </row>
    <row r="439" spans="3:11" ht="16" x14ac:dyDescent="0.45">
      <c r="E439" t="s">
        <v>952</v>
      </c>
      <c r="F439">
        <v>6</v>
      </c>
      <c r="G439">
        <v>5</v>
      </c>
      <c r="H439" s="23">
        <f t="shared" si="18"/>
        <v>30</v>
      </c>
      <c r="I439">
        <v>0.9</v>
      </c>
      <c r="J439" s="23">
        <f t="shared" si="19"/>
        <v>5.4</v>
      </c>
      <c r="K439">
        <f t="shared" si="20"/>
        <v>24.6</v>
      </c>
    </row>
    <row r="440" spans="3:11" ht="16" x14ac:dyDescent="0.45">
      <c r="E440" t="s">
        <v>1109</v>
      </c>
      <c r="F440">
        <v>1</v>
      </c>
      <c r="G440">
        <v>200</v>
      </c>
      <c r="H440" s="23">
        <f t="shared" si="18"/>
        <v>200</v>
      </c>
      <c r="I440">
        <v>39</v>
      </c>
      <c r="J440" s="23">
        <f t="shared" si="19"/>
        <v>39</v>
      </c>
      <c r="K440">
        <f t="shared" si="20"/>
        <v>161</v>
      </c>
    </row>
    <row r="441" spans="3:11" ht="16" x14ac:dyDescent="0.45">
      <c r="E441" t="s">
        <v>1110</v>
      </c>
      <c r="F441">
        <v>1</v>
      </c>
      <c r="G441">
        <v>300</v>
      </c>
      <c r="H441" s="23">
        <f t="shared" si="18"/>
        <v>300</v>
      </c>
      <c r="I441">
        <v>110</v>
      </c>
      <c r="J441" s="23">
        <f t="shared" si="19"/>
        <v>110</v>
      </c>
      <c r="K441">
        <f t="shared" si="20"/>
        <v>190</v>
      </c>
    </row>
    <row r="442" spans="3:11" ht="16" x14ac:dyDescent="0.45">
      <c r="E442" t="s">
        <v>1111</v>
      </c>
      <c r="F442">
        <v>1</v>
      </c>
      <c r="G442">
        <v>300</v>
      </c>
      <c r="H442" s="23">
        <f t="shared" si="18"/>
        <v>300</v>
      </c>
      <c r="I442">
        <v>83</v>
      </c>
      <c r="J442" s="23">
        <f t="shared" si="19"/>
        <v>83</v>
      </c>
      <c r="K442">
        <f t="shared" si="20"/>
        <v>217</v>
      </c>
    </row>
    <row r="443" spans="3:11" ht="16" x14ac:dyDescent="0.45">
      <c r="E443" t="s">
        <v>1112</v>
      </c>
      <c r="F443">
        <v>1</v>
      </c>
      <c r="G443">
        <v>100</v>
      </c>
      <c r="H443" s="23">
        <f t="shared" si="18"/>
        <v>100</v>
      </c>
      <c r="I443">
        <v>32</v>
      </c>
      <c r="J443" s="23">
        <f t="shared" si="19"/>
        <v>32</v>
      </c>
      <c r="K443">
        <f t="shared" si="20"/>
        <v>68</v>
      </c>
    </row>
    <row r="444" spans="3:11" ht="16" x14ac:dyDescent="0.45">
      <c r="E444" t="s">
        <v>959</v>
      </c>
      <c r="F444">
        <v>1</v>
      </c>
      <c r="G444">
        <v>20</v>
      </c>
      <c r="H444" s="23">
        <f t="shared" si="18"/>
        <v>20</v>
      </c>
      <c r="I444">
        <v>8.8000000000000007</v>
      </c>
      <c r="J444" s="23">
        <f t="shared" si="19"/>
        <v>8.8000000000000007</v>
      </c>
      <c r="K444">
        <f t="shared" si="20"/>
        <v>11.2</v>
      </c>
    </row>
    <row r="445" spans="3:11" ht="16" x14ac:dyDescent="0.45">
      <c r="E445" t="s">
        <v>991</v>
      </c>
      <c r="F445">
        <v>1</v>
      </c>
      <c r="G445">
        <v>20</v>
      </c>
      <c r="H445" s="23">
        <f t="shared" si="18"/>
        <v>20</v>
      </c>
      <c r="I445">
        <v>16</v>
      </c>
      <c r="J445" s="23">
        <f t="shared" si="19"/>
        <v>16</v>
      </c>
      <c r="K445">
        <f t="shared" si="20"/>
        <v>4</v>
      </c>
    </row>
    <row r="446" spans="3:11" ht="16" x14ac:dyDescent="0.45">
      <c r="E446" t="s">
        <v>975</v>
      </c>
      <c r="F446">
        <v>1</v>
      </c>
      <c r="G446">
        <v>120</v>
      </c>
      <c r="H446" s="23">
        <f t="shared" si="18"/>
        <v>120</v>
      </c>
      <c r="I446">
        <v>50</v>
      </c>
      <c r="J446" s="23">
        <f t="shared" si="19"/>
        <v>50</v>
      </c>
      <c r="K446">
        <f t="shared" si="20"/>
        <v>70</v>
      </c>
    </row>
    <row r="447" spans="3:11" ht="16" x14ac:dyDescent="0.45">
      <c r="E447" t="s">
        <v>960</v>
      </c>
      <c r="F447">
        <v>1</v>
      </c>
      <c r="G447">
        <v>30</v>
      </c>
      <c r="H447" s="23">
        <f t="shared" si="18"/>
        <v>30</v>
      </c>
      <c r="I447">
        <v>17</v>
      </c>
      <c r="J447" s="23">
        <f t="shared" si="19"/>
        <v>17</v>
      </c>
      <c r="K447">
        <f t="shared" si="20"/>
        <v>13</v>
      </c>
    </row>
    <row r="448" spans="3:11" ht="16" x14ac:dyDescent="0.45">
      <c r="E448" t="s">
        <v>1099</v>
      </c>
      <c r="F448">
        <v>1</v>
      </c>
      <c r="G448">
        <v>100</v>
      </c>
      <c r="H448" s="23">
        <f t="shared" si="18"/>
        <v>100</v>
      </c>
      <c r="I448">
        <v>40</v>
      </c>
      <c r="J448" s="23">
        <f t="shared" si="19"/>
        <v>40</v>
      </c>
      <c r="K448">
        <f t="shared" si="20"/>
        <v>60</v>
      </c>
    </row>
    <row r="449" spans="3:11" ht="16" x14ac:dyDescent="0.45">
      <c r="E449" t="s">
        <v>939</v>
      </c>
      <c r="F449">
        <v>2</v>
      </c>
      <c r="G449">
        <v>50</v>
      </c>
      <c r="H449" s="23">
        <f t="shared" si="18"/>
        <v>100</v>
      </c>
      <c r="I449">
        <v>25</v>
      </c>
      <c r="J449" s="23">
        <f t="shared" si="19"/>
        <v>50</v>
      </c>
      <c r="K449">
        <f t="shared" si="20"/>
        <v>50</v>
      </c>
    </row>
    <row r="450" spans="3:11" ht="16" x14ac:dyDescent="0.45">
      <c r="E450" t="s">
        <v>1113</v>
      </c>
      <c r="F450">
        <v>3</v>
      </c>
      <c r="G450">
        <v>10</v>
      </c>
      <c r="H450" s="23">
        <f t="shared" si="18"/>
        <v>30</v>
      </c>
      <c r="I450">
        <v>4.2</v>
      </c>
      <c r="J450" s="23">
        <f t="shared" si="19"/>
        <v>12.600000000000001</v>
      </c>
      <c r="K450">
        <f t="shared" si="20"/>
        <v>17.399999999999999</v>
      </c>
    </row>
    <row r="451" spans="3:11" ht="16" x14ac:dyDescent="0.45">
      <c r="E451" t="s">
        <v>968</v>
      </c>
      <c r="F451">
        <v>5</v>
      </c>
      <c r="G451">
        <v>4</v>
      </c>
      <c r="H451" s="23">
        <f t="shared" si="18"/>
        <v>20</v>
      </c>
      <c r="I451">
        <v>1.2</v>
      </c>
      <c r="J451" s="23">
        <f t="shared" si="19"/>
        <v>6</v>
      </c>
      <c r="K451">
        <f t="shared" si="20"/>
        <v>14</v>
      </c>
    </row>
    <row r="452" spans="3:11" ht="16" x14ac:dyDescent="0.45">
      <c r="C452" s="21">
        <v>46181</v>
      </c>
      <c r="E452" t="s">
        <v>973</v>
      </c>
      <c r="F452">
        <v>1</v>
      </c>
      <c r="G452">
        <v>50</v>
      </c>
      <c r="H452" s="23">
        <f t="shared" si="18"/>
        <v>50</v>
      </c>
      <c r="I452">
        <v>10</v>
      </c>
      <c r="J452" s="23">
        <f t="shared" si="19"/>
        <v>10</v>
      </c>
      <c r="K452">
        <f t="shared" si="20"/>
        <v>40</v>
      </c>
    </row>
    <row r="453" spans="3:11" ht="16" x14ac:dyDescent="0.45">
      <c r="E453" t="s">
        <v>950</v>
      </c>
      <c r="F453">
        <v>2</v>
      </c>
      <c r="G453">
        <v>10</v>
      </c>
      <c r="H453" s="23">
        <f t="shared" si="18"/>
        <v>20</v>
      </c>
      <c r="I453">
        <v>7</v>
      </c>
      <c r="J453" s="23">
        <f t="shared" si="19"/>
        <v>14</v>
      </c>
      <c r="K453">
        <f t="shared" si="20"/>
        <v>6</v>
      </c>
    </row>
    <row r="454" spans="3:11" ht="16" x14ac:dyDescent="0.45">
      <c r="E454" t="s">
        <v>933</v>
      </c>
      <c r="F454">
        <v>6</v>
      </c>
      <c r="G454">
        <v>5</v>
      </c>
      <c r="H454" s="23">
        <f t="shared" ref="H454:H517" si="21">F454*G454</f>
        <v>30</v>
      </c>
      <c r="I454">
        <v>0.9</v>
      </c>
      <c r="J454" s="23">
        <f t="shared" ref="J454:J517" si="22">F454*I454</f>
        <v>5.4</v>
      </c>
      <c r="K454">
        <f t="shared" ref="K454:K517" si="23">H454-J454</f>
        <v>24.6</v>
      </c>
    </row>
    <row r="455" spans="3:11" ht="16" x14ac:dyDescent="0.45">
      <c r="E455" t="s">
        <v>983</v>
      </c>
      <c r="F455">
        <v>2</v>
      </c>
      <c r="G455">
        <v>150</v>
      </c>
      <c r="H455" s="23">
        <f t="shared" si="21"/>
        <v>300</v>
      </c>
      <c r="I455">
        <v>55</v>
      </c>
      <c r="J455" s="23">
        <f t="shared" si="22"/>
        <v>110</v>
      </c>
      <c r="K455">
        <f t="shared" si="23"/>
        <v>190</v>
      </c>
    </row>
    <row r="456" spans="3:11" ht="16" x14ac:dyDescent="0.45">
      <c r="E456" t="s">
        <v>1115</v>
      </c>
      <c r="F456">
        <v>1</v>
      </c>
      <c r="G456">
        <v>50</v>
      </c>
      <c r="H456" s="23">
        <f t="shared" si="21"/>
        <v>50</v>
      </c>
      <c r="I456">
        <v>13</v>
      </c>
      <c r="J456" s="23">
        <f t="shared" si="22"/>
        <v>13</v>
      </c>
      <c r="K456">
        <f t="shared" si="23"/>
        <v>37</v>
      </c>
    </row>
    <row r="457" spans="3:11" ht="16" x14ac:dyDescent="0.45">
      <c r="E457" t="s">
        <v>940</v>
      </c>
      <c r="F457">
        <v>5</v>
      </c>
      <c r="G457">
        <v>2</v>
      </c>
      <c r="H457" s="23">
        <f t="shared" si="21"/>
        <v>10</v>
      </c>
      <c r="I457">
        <v>0.9</v>
      </c>
      <c r="J457" s="23">
        <f t="shared" si="22"/>
        <v>4.5</v>
      </c>
      <c r="K457">
        <f t="shared" si="23"/>
        <v>5.5</v>
      </c>
    </row>
    <row r="458" spans="3:11" ht="16" x14ac:dyDescent="0.45">
      <c r="E458" t="s">
        <v>968</v>
      </c>
      <c r="F458">
        <v>10</v>
      </c>
      <c r="G458">
        <v>5</v>
      </c>
      <c r="H458" s="23">
        <f t="shared" si="21"/>
        <v>50</v>
      </c>
      <c r="I458">
        <v>1.2</v>
      </c>
      <c r="J458" s="23">
        <f t="shared" si="22"/>
        <v>12</v>
      </c>
      <c r="K458">
        <f t="shared" si="23"/>
        <v>38</v>
      </c>
    </row>
    <row r="459" spans="3:11" ht="16" x14ac:dyDescent="0.45">
      <c r="E459" t="s">
        <v>1066</v>
      </c>
      <c r="F459">
        <v>1</v>
      </c>
      <c r="G459">
        <v>20</v>
      </c>
      <c r="H459" s="23">
        <f t="shared" si="21"/>
        <v>20</v>
      </c>
      <c r="I459">
        <v>15</v>
      </c>
      <c r="J459" s="23">
        <f t="shared" si="22"/>
        <v>15</v>
      </c>
      <c r="K459">
        <f t="shared" si="23"/>
        <v>5</v>
      </c>
    </row>
    <row r="460" spans="3:11" ht="16" x14ac:dyDescent="0.45">
      <c r="E460" t="s">
        <v>1075</v>
      </c>
      <c r="F460">
        <v>2</v>
      </c>
      <c r="G460">
        <v>50</v>
      </c>
      <c r="H460" s="23">
        <f t="shared" si="21"/>
        <v>100</v>
      </c>
      <c r="I460">
        <v>15</v>
      </c>
      <c r="J460" s="23">
        <f t="shared" si="22"/>
        <v>30</v>
      </c>
      <c r="K460">
        <f t="shared" si="23"/>
        <v>70</v>
      </c>
    </row>
    <row r="461" spans="3:11" ht="16" x14ac:dyDescent="0.45">
      <c r="E461" t="s">
        <v>988</v>
      </c>
      <c r="F461">
        <v>1</v>
      </c>
      <c r="G461">
        <v>120</v>
      </c>
      <c r="H461" s="23">
        <f t="shared" si="21"/>
        <v>120</v>
      </c>
      <c r="I461">
        <v>100</v>
      </c>
      <c r="J461" s="23">
        <f t="shared" si="22"/>
        <v>100</v>
      </c>
      <c r="K461">
        <f t="shared" si="23"/>
        <v>20</v>
      </c>
    </row>
    <row r="462" spans="3:11" ht="16" x14ac:dyDescent="0.45">
      <c r="C462" s="21">
        <v>46211</v>
      </c>
      <c r="E462" t="s">
        <v>955</v>
      </c>
      <c r="F462">
        <v>1</v>
      </c>
      <c r="G462">
        <v>20</v>
      </c>
      <c r="H462" s="23">
        <f t="shared" si="21"/>
        <v>20</v>
      </c>
      <c r="I462">
        <v>12</v>
      </c>
      <c r="J462" s="23">
        <f t="shared" si="22"/>
        <v>12</v>
      </c>
      <c r="K462">
        <f t="shared" si="23"/>
        <v>8</v>
      </c>
    </row>
    <row r="463" spans="3:11" ht="16" x14ac:dyDescent="0.45">
      <c r="E463" t="s">
        <v>933</v>
      </c>
      <c r="F463">
        <v>3</v>
      </c>
      <c r="G463">
        <v>5</v>
      </c>
      <c r="H463" s="23">
        <f t="shared" si="21"/>
        <v>15</v>
      </c>
      <c r="I463">
        <v>0.9</v>
      </c>
      <c r="J463" s="23">
        <f t="shared" si="22"/>
        <v>2.7</v>
      </c>
      <c r="K463">
        <f t="shared" si="23"/>
        <v>12.3</v>
      </c>
    </row>
    <row r="464" spans="3:11" ht="16" x14ac:dyDescent="0.45">
      <c r="E464" t="s">
        <v>990</v>
      </c>
      <c r="F464">
        <v>2</v>
      </c>
      <c r="G464">
        <v>30</v>
      </c>
      <c r="H464" s="23">
        <f t="shared" si="21"/>
        <v>60</v>
      </c>
      <c r="I464">
        <v>27</v>
      </c>
      <c r="J464" s="23">
        <f t="shared" si="22"/>
        <v>54</v>
      </c>
      <c r="K464">
        <f t="shared" si="23"/>
        <v>6</v>
      </c>
    </row>
    <row r="465" spans="3:11" ht="16" x14ac:dyDescent="0.45">
      <c r="E465" t="s">
        <v>964</v>
      </c>
      <c r="F465">
        <v>2</v>
      </c>
      <c r="G465">
        <v>10</v>
      </c>
      <c r="H465" s="23">
        <f t="shared" si="21"/>
        <v>20</v>
      </c>
      <c r="I465">
        <v>2.2999999999999998</v>
      </c>
      <c r="J465" s="23">
        <f t="shared" si="22"/>
        <v>4.5999999999999996</v>
      </c>
      <c r="K465">
        <f t="shared" si="23"/>
        <v>15.4</v>
      </c>
    </row>
    <row r="466" spans="3:11" ht="16" x14ac:dyDescent="0.45">
      <c r="E466" t="s">
        <v>952</v>
      </c>
      <c r="F466">
        <v>10</v>
      </c>
      <c r="G466">
        <v>5</v>
      </c>
      <c r="H466" s="23">
        <f t="shared" si="21"/>
        <v>50</v>
      </c>
      <c r="I466">
        <v>0.9</v>
      </c>
      <c r="J466" s="23">
        <f t="shared" si="22"/>
        <v>9</v>
      </c>
      <c r="K466">
        <f t="shared" si="23"/>
        <v>41</v>
      </c>
    </row>
    <row r="467" spans="3:11" ht="16" x14ac:dyDescent="0.45">
      <c r="E467" t="s">
        <v>993</v>
      </c>
      <c r="F467">
        <v>1</v>
      </c>
      <c r="G467">
        <v>50</v>
      </c>
      <c r="H467" s="23">
        <f t="shared" si="21"/>
        <v>50</v>
      </c>
      <c r="I467">
        <v>25</v>
      </c>
      <c r="J467" s="23">
        <f t="shared" si="22"/>
        <v>25</v>
      </c>
      <c r="K467">
        <f t="shared" si="23"/>
        <v>25</v>
      </c>
    </row>
    <row r="468" spans="3:11" ht="16" x14ac:dyDescent="0.45">
      <c r="E468" t="s">
        <v>1059</v>
      </c>
      <c r="F468">
        <v>10</v>
      </c>
      <c r="G468">
        <v>2</v>
      </c>
      <c r="H468" s="23">
        <f t="shared" si="21"/>
        <v>20</v>
      </c>
      <c r="I468">
        <v>0.35</v>
      </c>
      <c r="J468" s="23">
        <f t="shared" si="22"/>
        <v>3.5</v>
      </c>
      <c r="K468">
        <f t="shared" si="23"/>
        <v>16.5</v>
      </c>
    </row>
    <row r="469" spans="3:11" ht="16" x14ac:dyDescent="0.45">
      <c r="E469" t="s">
        <v>1075</v>
      </c>
      <c r="F469">
        <v>1</v>
      </c>
      <c r="G469">
        <v>50</v>
      </c>
      <c r="H469" s="23">
        <f t="shared" si="21"/>
        <v>50</v>
      </c>
      <c r="I469">
        <v>15</v>
      </c>
      <c r="J469" s="23">
        <f t="shared" si="22"/>
        <v>15</v>
      </c>
      <c r="K469">
        <f t="shared" si="23"/>
        <v>35</v>
      </c>
    </row>
    <row r="470" spans="3:11" ht="16" x14ac:dyDescent="0.45">
      <c r="C470" s="21">
        <v>46242</v>
      </c>
      <c r="E470" t="s">
        <v>967</v>
      </c>
      <c r="F470">
        <v>4</v>
      </c>
      <c r="G470">
        <v>10</v>
      </c>
      <c r="H470" s="23">
        <f t="shared" si="21"/>
        <v>40</v>
      </c>
      <c r="I470">
        <v>2.9</v>
      </c>
      <c r="J470" s="23">
        <f t="shared" si="22"/>
        <v>11.6</v>
      </c>
      <c r="K470">
        <f t="shared" si="23"/>
        <v>28.4</v>
      </c>
    </row>
    <row r="471" spans="3:11" ht="16" x14ac:dyDescent="0.45">
      <c r="E471" t="s">
        <v>1115</v>
      </c>
      <c r="F471">
        <v>1</v>
      </c>
      <c r="G471">
        <v>50</v>
      </c>
      <c r="H471" s="23">
        <f t="shared" si="21"/>
        <v>50</v>
      </c>
      <c r="I471">
        <v>13</v>
      </c>
      <c r="J471" s="23">
        <f t="shared" si="22"/>
        <v>13</v>
      </c>
      <c r="K471">
        <f t="shared" si="23"/>
        <v>37</v>
      </c>
    </row>
    <row r="472" spans="3:11" ht="16" x14ac:dyDescent="0.45">
      <c r="E472" t="s">
        <v>1057</v>
      </c>
      <c r="F472">
        <v>20</v>
      </c>
      <c r="G472">
        <v>1</v>
      </c>
      <c r="H472" s="23">
        <f t="shared" si="21"/>
        <v>20</v>
      </c>
      <c r="I472">
        <v>0.35</v>
      </c>
      <c r="J472" s="23">
        <f t="shared" si="22"/>
        <v>7</v>
      </c>
      <c r="K472">
        <f t="shared" si="23"/>
        <v>13</v>
      </c>
    </row>
    <row r="473" spans="3:11" ht="16" x14ac:dyDescent="0.45">
      <c r="E473" t="s">
        <v>1116</v>
      </c>
      <c r="F473">
        <v>1</v>
      </c>
      <c r="G473">
        <v>150</v>
      </c>
      <c r="H473" s="23">
        <f t="shared" si="21"/>
        <v>150</v>
      </c>
      <c r="I473">
        <v>85</v>
      </c>
      <c r="J473" s="23">
        <f t="shared" si="22"/>
        <v>85</v>
      </c>
      <c r="K473">
        <f t="shared" si="23"/>
        <v>65</v>
      </c>
    </row>
    <row r="474" spans="3:11" ht="16" x14ac:dyDescent="0.45">
      <c r="E474" t="s">
        <v>1124</v>
      </c>
      <c r="F474">
        <v>10</v>
      </c>
      <c r="G474">
        <v>5</v>
      </c>
      <c r="H474" s="23">
        <f t="shared" si="21"/>
        <v>50</v>
      </c>
      <c r="I474">
        <v>0.9</v>
      </c>
      <c r="J474" s="23">
        <f t="shared" si="22"/>
        <v>9</v>
      </c>
      <c r="K474">
        <f t="shared" si="23"/>
        <v>41</v>
      </c>
    </row>
    <row r="475" spans="3:11" ht="16" x14ac:dyDescent="0.45">
      <c r="E475" t="s">
        <v>993</v>
      </c>
      <c r="F475">
        <v>1</v>
      </c>
      <c r="G475">
        <v>50</v>
      </c>
      <c r="H475" s="23">
        <f t="shared" si="21"/>
        <v>50</v>
      </c>
      <c r="I475">
        <v>25</v>
      </c>
      <c r="J475" s="23">
        <f t="shared" si="22"/>
        <v>25</v>
      </c>
      <c r="K475">
        <f t="shared" si="23"/>
        <v>25</v>
      </c>
    </row>
    <row r="476" spans="3:11" ht="16" x14ac:dyDescent="0.45">
      <c r="E476" t="s">
        <v>1108</v>
      </c>
      <c r="F476">
        <v>1</v>
      </c>
      <c r="G476">
        <v>100</v>
      </c>
      <c r="H476" s="23">
        <f t="shared" si="21"/>
        <v>100</v>
      </c>
      <c r="I476">
        <v>50</v>
      </c>
      <c r="J476" s="23">
        <f t="shared" si="22"/>
        <v>50</v>
      </c>
      <c r="K476">
        <f t="shared" si="23"/>
        <v>50</v>
      </c>
    </row>
    <row r="477" spans="3:11" ht="16" x14ac:dyDescent="0.45">
      <c r="E477" t="s">
        <v>1113</v>
      </c>
      <c r="F477">
        <v>2</v>
      </c>
      <c r="G477">
        <v>10</v>
      </c>
      <c r="H477" s="23">
        <f t="shared" si="21"/>
        <v>20</v>
      </c>
      <c r="I477">
        <v>1.3</v>
      </c>
      <c r="J477" s="23">
        <f t="shared" si="22"/>
        <v>2.6</v>
      </c>
      <c r="K477">
        <f t="shared" si="23"/>
        <v>17.399999999999999</v>
      </c>
    </row>
    <row r="478" spans="3:11" ht="16" x14ac:dyDescent="0.45">
      <c r="E478" t="s">
        <v>956</v>
      </c>
      <c r="F478">
        <v>1</v>
      </c>
      <c r="G478">
        <v>10</v>
      </c>
      <c r="H478" s="23">
        <f t="shared" si="21"/>
        <v>10</v>
      </c>
      <c r="I478">
        <v>6</v>
      </c>
      <c r="J478" s="23">
        <f t="shared" si="22"/>
        <v>6</v>
      </c>
      <c r="K478">
        <f t="shared" si="23"/>
        <v>4</v>
      </c>
    </row>
    <row r="479" spans="3:11" ht="16" x14ac:dyDescent="0.45">
      <c r="E479" t="s">
        <v>1075</v>
      </c>
      <c r="F479">
        <v>1</v>
      </c>
      <c r="G479">
        <v>50</v>
      </c>
      <c r="H479" s="23">
        <f t="shared" si="21"/>
        <v>50</v>
      </c>
      <c r="I479">
        <v>15</v>
      </c>
      <c r="J479" s="23">
        <f t="shared" si="22"/>
        <v>15</v>
      </c>
      <c r="K479">
        <f t="shared" si="23"/>
        <v>35</v>
      </c>
    </row>
    <row r="480" spans="3:11" ht="16" x14ac:dyDescent="0.45">
      <c r="C480" s="21">
        <v>46273</v>
      </c>
      <c r="E480" t="s">
        <v>991</v>
      </c>
      <c r="F480">
        <v>1</v>
      </c>
      <c r="G480">
        <v>20</v>
      </c>
      <c r="H480" s="23">
        <f t="shared" si="21"/>
        <v>20</v>
      </c>
      <c r="I480">
        <v>16</v>
      </c>
      <c r="J480" s="23">
        <f t="shared" si="22"/>
        <v>16</v>
      </c>
      <c r="K480">
        <f t="shared" si="23"/>
        <v>4</v>
      </c>
    </row>
    <row r="481" spans="3:11" ht="16" x14ac:dyDescent="0.45">
      <c r="E481" t="s">
        <v>1115</v>
      </c>
      <c r="F481">
        <v>1</v>
      </c>
      <c r="G481">
        <v>50</v>
      </c>
      <c r="H481" s="23">
        <f t="shared" si="21"/>
        <v>50</v>
      </c>
      <c r="I481">
        <v>13</v>
      </c>
      <c r="J481" s="23">
        <f t="shared" si="22"/>
        <v>13</v>
      </c>
      <c r="K481">
        <f t="shared" si="23"/>
        <v>37</v>
      </c>
    </row>
    <row r="482" spans="3:11" ht="16" x14ac:dyDescent="0.45">
      <c r="E482" t="s">
        <v>967</v>
      </c>
      <c r="F482">
        <v>4</v>
      </c>
      <c r="G482">
        <v>10</v>
      </c>
      <c r="H482" s="23">
        <f t="shared" si="21"/>
        <v>40</v>
      </c>
      <c r="I482">
        <v>2.9</v>
      </c>
      <c r="J482" s="23">
        <f t="shared" si="22"/>
        <v>11.6</v>
      </c>
      <c r="K482">
        <f t="shared" si="23"/>
        <v>28.4</v>
      </c>
    </row>
    <row r="483" spans="3:11" ht="16" x14ac:dyDescent="0.45">
      <c r="E483" t="s">
        <v>963</v>
      </c>
      <c r="F483">
        <v>3</v>
      </c>
      <c r="G483">
        <v>20</v>
      </c>
      <c r="H483" s="23">
        <f t="shared" si="21"/>
        <v>60</v>
      </c>
      <c r="I483">
        <v>14</v>
      </c>
      <c r="J483" s="23">
        <f t="shared" si="22"/>
        <v>42</v>
      </c>
      <c r="K483">
        <f t="shared" si="23"/>
        <v>18</v>
      </c>
    </row>
    <row r="484" spans="3:11" ht="16" x14ac:dyDescent="0.45">
      <c r="E484" t="s">
        <v>952</v>
      </c>
      <c r="F484">
        <v>1</v>
      </c>
      <c r="G484">
        <v>50</v>
      </c>
      <c r="H484" s="23">
        <f t="shared" si="21"/>
        <v>50</v>
      </c>
      <c r="I484">
        <v>25</v>
      </c>
      <c r="J484" s="23">
        <f t="shared" si="22"/>
        <v>25</v>
      </c>
      <c r="K484">
        <f t="shared" si="23"/>
        <v>25</v>
      </c>
    </row>
    <row r="485" spans="3:11" ht="16" x14ac:dyDescent="0.45">
      <c r="E485" t="s">
        <v>1125</v>
      </c>
      <c r="F485">
        <v>1</v>
      </c>
      <c r="G485">
        <v>80</v>
      </c>
      <c r="H485" s="23">
        <f t="shared" si="21"/>
        <v>80</v>
      </c>
      <c r="I485">
        <v>15</v>
      </c>
      <c r="J485" s="23">
        <f t="shared" si="22"/>
        <v>15</v>
      </c>
      <c r="K485">
        <f t="shared" si="23"/>
        <v>65</v>
      </c>
    </row>
    <row r="486" spans="3:11" ht="16" x14ac:dyDescent="0.45">
      <c r="E486" t="s">
        <v>960</v>
      </c>
      <c r="F486">
        <v>2</v>
      </c>
      <c r="G486">
        <v>30</v>
      </c>
      <c r="H486" s="23">
        <f t="shared" si="21"/>
        <v>60</v>
      </c>
      <c r="I486">
        <v>17</v>
      </c>
      <c r="J486" s="23">
        <f t="shared" si="22"/>
        <v>34</v>
      </c>
      <c r="K486">
        <f t="shared" si="23"/>
        <v>26</v>
      </c>
    </row>
    <row r="487" spans="3:11" ht="16" x14ac:dyDescent="0.45">
      <c r="E487" t="s">
        <v>950</v>
      </c>
      <c r="F487">
        <v>2</v>
      </c>
      <c r="G487">
        <v>10</v>
      </c>
      <c r="H487" s="23">
        <f t="shared" si="21"/>
        <v>20</v>
      </c>
      <c r="I487">
        <v>7</v>
      </c>
      <c r="J487" s="23">
        <f t="shared" si="22"/>
        <v>14</v>
      </c>
      <c r="K487">
        <f t="shared" si="23"/>
        <v>6</v>
      </c>
    </row>
    <row r="488" spans="3:11" ht="16" x14ac:dyDescent="0.45">
      <c r="E488" t="s">
        <v>955</v>
      </c>
      <c r="F488">
        <v>1</v>
      </c>
      <c r="G488">
        <v>20</v>
      </c>
      <c r="H488" s="23">
        <f t="shared" si="21"/>
        <v>20</v>
      </c>
      <c r="I488">
        <v>12</v>
      </c>
      <c r="J488" s="23">
        <f t="shared" si="22"/>
        <v>12</v>
      </c>
      <c r="K488">
        <f t="shared" si="23"/>
        <v>8</v>
      </c>
    </row>
    <row r="489" spans="3:11" ht="16" x14ac:dyDescent="0.45">
      <c r="E489" t="s">
        <v>987</v>
      </c>
      <c r="F489">
        <v>1</v>
      </c>
      <c r="G489">
        <v>100</v>
      </c>
      <c r="H489" s="23">
        <f t="shared" si="21"/>
        <v>100</v>
      </c>
      <c r="I489">
        <v>22</v>
      </c>
      <c r="J489" s="23">
        <f t="shared" si="22"/>
        <v>22</v>
      </c>
      <c r="K489">
        <f t="shared" si="23"/>
        <v>78</v>
      </c>
    </row>
    <row r="490" spans="3:11" ht="16" x14ac:dyDescent="0.45">
      <c r="C490" s="21">
        <v>46303</v>
      </c>
      <c r="E490" t="s">
        <v>977</v>
      </c>
      <c r="F490">
        <v>1</v>
      </c>
      <c r="G490">
        <v>200</v>
      </c>
      <c r="H490" s="23">
        <f t="shared" si="21"/>
        <v>200</v>
      </c>
      <c r="I490">
        <v>165</v>
      </c>
      <c r="J490" s="23">
        <f t="shared" si="22"/>
        <v>165</v>
      </c>
      <c r="K490">
        <f t="shared" si="23"/>
        <v>35</v>
      </c>
    </row>
    <row r="491" spans="3:11" ht="16" x14ac:dyDescent="0.45">
      <c r="E491" t="s">
        <v>1126</v>
      </c>
      <c r="F491">
        <v>2</v>
      </c>
      <c r="G491">
        <v>30</v>
      </c>
      <c r="H491" s="23">
        <f t="shared" si="21"/>
        <v>60</v>
      </c>
      <c r="I491">
        <v>20</v>
      </c>
      <c r="J491" s="23">
        <f t="shared" si="22"/>
        <v>40</v>
      </c>
      <c r="K491">
        <f t="shared" si="23"/>
        <v>20</v>
      </c>
    </row>
    <row r="492" spans="3:11" ht="16" x14ac:dyDescent="0.45">
      <c r="E492" t="s">
        <v>1127</v>
      </c>
      <c r="F492">
        <v>1</v>
      </c>
      <c r="G492">
        <v>100</v>
      </c>
      <c r="H492" s="23">
        <f t="shared" si="21"/>
        <v>100</v>
      </c>
      <c r="I492">
        <v>55</v>
      </c>
      <c r="J492" s="23">
        <f t="shared" si="22"/>
        <v>55</v>
      </c>
      <c r="K492">
        <f t="shared" si="23"/>
        <v>45</v>
      </c>
    </row>
    <row r="493" spans="3:11" ht="16" x14ac:dyDescent="0.45">
      <c r="E493" t="s">
        <v>949</v>
      </c>
      <c r="F493">
        <v>5</v>
      </c>
      <c r="G493">
        <v>20</v>
      </c>
      <c r="H493" s="23">
        <f t="shared" si="21"/>
        <v>100</v>
      </c>
      <c r="I493">
        <v>10.5</v>
      </c>
      <c r="J493" s="23">
        <f t="shared" si="22"/>
        <v>52.5</v>
      </c>
      <c r="K493">
        <f t="shared" si="23"/>
        <v>47.5</v>
      </c>
    </row>
    <row r="494" spans="3:11" ht="16" x14ac:dyDescent="0.45">
      <c r="E494" t="s">
        <v>950</v>
      </c>
      <c r="F494">
        <v>2</v>
      </c>
      <c r="G494">
        <v>10</v>
      </c>
      <c r="H494" s="23">
        <f t="shared" si="21"/>
        <v>20</v>
      </c>
      <c r="I494">
        <v>7</v>
      </c>
      <c r="J494" s="23">
        <f t="shared" si="22"/>
        <v>14</v>
      </c>
      <c r="K494">
        <f t="shared" si="23"/>
        <v>6</v>
      </c>
    </row>
    <row r="495" spans="3:11" ht="16" x14ac:dyDescent="0.45">
      <c r="E495" t="s">
        <v>944</v>
      </c>
      <c r="F495">
        <v>10</v>
      </c>
      <c r="G495">
        <v>2</v>
      </c>
      <c r="H495" s="23">
        <f t="shared" si="21"/>
        <v>20</v>
      </c>
      <c r="I495">
        <v>0.9</v>
      </c>
      <c r="J495" s="23">
        <f t="shared" si="22"/>
        <v>9</v>
      </c>
      <c r="K495">
        <f t="shared" si="23"/>
        <v>11</v>
      </c>
    </row>
    <row r="496" spans="3:11" ht="16" x14ac:dyDescent="0.45">
      <c r="E496" t="s">
        <v>952</v>
      </c>
      <c r="F496">
        <v>4</v>
      </c>
      <c r="G496">
        <v>5</v>
      </c>
      <c r="H496" s="23">
        <f t="shared" si="21"/>
        <v>20</v>
      </c>
      <c r="I496">
        <v>0.9</v>
      </c>
      <c r="J496" s="23">
        <f t="shared" si="22"/>
        <v>3.6</v>
      </c>
      <c r="K496">
        <f t="shared" si="23"/>
        <v>16.399999999999999</v>
      </c>
    </row>
    <row r="497" spans="3:11" ht="16" x14ac:dyDescent="0.45">
      <c r="E497" t="s">
        <v>991</v>
      </c>
      <c r="F497">
        <v>1</v>
      </c>
      <c r="G497">
        <v>20</v>
      </c>
      <c r="H497" s="23">
        <f t="shared" si="21"/>
        <v>20</v>
      </c>
      <c r="I497">
        <v>16</v>
      </c>
      <c r="J497" s="23">
        <f t="shared" si="22"/>
        <v>16</v>
      </c>
      <c r="K497">
        <f t="shared" si="23"/>
        <v>4</v>
      </c>
    </row>
    <row r="498" spans="3:11" ht="16" x14ac:dyDescent="0.45">
      <c r="E498" t="s">
        <v>1108</v>
      </c>
      <c r="F498">
        <v>1</v>
      </c>
      <c r="G498">
        <v>150</v>
      </c>
      <c r="H498" s="23">
        <f t="shared" si="21"/>
        <v>150</v>
      </c>
      <c r="I498">
        <v>50</v>
      </c>
      <c r="J498" s="23">
        <f t="shared" si="22"/>
        <v>50</v>
      </c>
      <c r="K498">
        <f t="shared" si="23"/>
        <v>100</v>
      </c>
    </row>
    <row r="499" spans="3:11" ht="16" x14ac:dyDescent="0.45">
      <c r="E499" t="s">
        <v>960</v>
      </c>
      <c r="F499">
        <v>2</v>
      </c>
      <c r="G499">
        <v>30</v>
      </c>
      <c r="H499" s="23">
        <f t="shared" si="21"/>
        <v>60</v>
      </c>
      <c r="I499">
        <v>17</v>
      </c>
      <c r="J499" s="23">
        <f t="shared" si="22"/>
        <v>34</v>
      </c>
      <c r="K499">
        <f t="shared" si="23"/>
        <v>26</v>
      </c>
    </row>
    <row r="500" spans="3:11" ht="16" x14ac:dyDescent="0.45">
      <c r="C500" s="21">
        <v>46334</v>
      </c>
      <c r="E500" t="s">
        <v>1128</v>
      </c>
      <c r="F500">
        <v>10</v>
      </c>
      <c r="G500">
        <v>15</v>
      </c>
      <c r="H500" s="23">
        <f t="shared" si="21"/>
        <v>150</v>
      </c>
      <c r="I500">
        <v>7.6</v>
      </c>
      <c r="J500" s="23">
        <f t="shared" si="22"/>
        <v>76</v>
      </c>
      <c r="K500">
        <f t="shared" si="23"/>
        <v>74</v>
      </c>
    </row>
    <row r="501" spans="3:11" ht="16" x14ac:dyDescent="0.45">
      <c r="E501" t="s">
        <v>1028</v>
      </c>
      <c r="F501">
        <v>1</v>
      </c>
      <c r="G501">
        <v>100</v>
      </c>
      <c r="H501" s="23">
        <f t="shared" si="21"/>
        <v>100</v>
      </c>
      <c r="I501">
        <v>55</v>
      </c>
      <c r="J501" s="23">
        <f t="shared" si="22"/>
        <v>55</v>
      </c>
      <c r="K501">
        <f t="shared" si="23"/>
        <v>45</v>
      </c>
    </row>
    <row r="502" spans="3:11" ht="16" x14ac:dyDescent="0.45">
      <c r="E502" t="s">
        <v>1129</v>
      </c>
      <c r="F502">
        <v>1</v>
      </c>
      <c r="G502">
        <v>110</v>
      </c>
      <c r="H502" s="23">
        <f t="shared" si="21"/>
        <v>110</v>
      </c>
      <c r="I502">
        <v>80</v>
      </c>
      <c r="J502" s="23">
        <f t="shared" si="22"/>
        <v>80</v>
      </c>
      <c r="K502">
        <f t="shared" si="23"/>
        <v>30</v>
      </c>
    </row>
    <row r="503" spans="3:11" ht="16" x14ac:dyDescent="0.45">
      <c r="E503" t="s">
        <v>1130</v>
      </c>
      <c r="F503">
        <v>1</v>
      </c>
      <c r="G503">
        <v>150</v>
      </c>
      <c r="H503" s="23">
        <f t="shared" si="21"/>
        <v>150</v>
      </c>
      <c r="I503">
        <v>85</v>
      </c>
      <c r="J503" s="23">
        <f t="shared" si="22"/>
        <v>85</v>
      </c>
      <c r="K503">
        <f t="shared" si="23"/>
        <v>65</v>
      </c>
    </row>
    <row r="504" spans="3:11" ht="16" x14ac:dyDescent="0.45">
      <c r="E504" t="s">
        <v>1132</v>
      </c>
      <c r="F504">
        <v>4</v>
      </c>
      <c r="G504">
        <v>5</v>
      </c>
      <c r="H504" s="23">
        <f t="shared" si="21"/>
        <v>20</v>
      </c>
      <c r="I504">
        <v>0.65</v>
      </c>
      <c r="J504" s="23">
        <f t="shared" si="22"/>
        <v>2.6</v>
      </c>
      <c r="K504">
        <f t="shared" si="23"/>
        <v>17.399999999999999</v>
      </c>
    </row>
    <row r="505" spans="3:11" ht="16" x14ac:dyDescent="0.45">
      <c r="E505" t="s">
        <v>1133</v>
      </c>
      <c r="F505">
        <v>5</v>
      </c>
      <c r="G505">
        <v>10</v>
      </c>
      <c r="H505" s="23">
        <f t="shared" si="21"/>
        <v>50</v>
      </c>
      <c r="I505">
        <v>3.2</v>
      </c>
      <c r="J505" s="23">
        <f t="shared" si="22"/>
        <v>16</v>
      </c>
      <c r="K505">
        <f t="shared" si="23"/>
        <v>34</v>
      </c>
    </row>
    <row r="506" spans="3:11" ht="16" x14ac:dyDescent="0.45">
      <c r="E506" t="s">
        <v>1134</v>
      </c>
      <c r="F506">
        <v>10</v>
      </c>
      <c r="G506">
        <v>3</v>
      </c>
      <c r="H506" s="23">
        <f t="shared" si="21"/>
        <v>30</v>
      </c>
      <c r="I506">
        <v>1.3</v>
      </c>
      <c r="J506" s="23">
        <f t="shared" si="22"/>
        <v>13</v>
      </c>
      <c r="K506">
        <f t="shared" si="23"/>
        <v>17</v>
      </c>
    </row>
    <row r="507" spans="3:11" ht="16" x14ac:dyDescent="0.45">
      <c r="E507" t="s">
        <v>950</v>
      </c>
      <c r="F507">
        <v>2</v>
      </c>
      <c r="G507">
        <v>10</v>
      </c>
      <c r="H507" s="23">
        <f t="shared" si="21"/>
        <v>20</v>
      </c>
      <c r="I507">
        <v>7</v>
      </c>
      <c r="J507" s="23">
        <f t="shared" si="22"/>
        <v>14</v>
      </c>
      <c r="K507">
        <f t="shared" si="23"/>
        <v>6</v>
      </c>
    </row>
    <row r="508" spans="3:11" ht="16" x14ac:dyDescent="0.45">
      <c r="C508" s="21">
        <v>46364</v>
      </c>
      <c r="E508" t="s">
        <v>952</v>
      </c>
      <c r="F508">
        <v>4</v>
      </c>
      <c r="G508">
        <v>5</v>
      </c>
      <c r="H508" s="23">
        <f t="shared" si="21"/>
        <v>20</v>
      </c>
      <c r="I508">
        <v>0.9</v>
      </c>
      <c r="J508" s="23">
        <f t="shared" si="22"/>
        <v>3.6</v>
      </c>
      <c r="K508">
        <f t="shared" si="23"/>
        <v>16.399999999999999</v>
      </c>
    </row>
    <row r="509" spans="3:11" ht="16" x14ac:dyDescent="0.45">
      <c r="E509" t="s">
        <v>1135</v>
      </c>
      <c r="F509">
        <v>1</v>
      </c>
      <c r="G509">
        <v>100</v>
      </c>
      <c r="H509" s="23">
        <f t="shared" si="21"/>
        <v>100</v>
      </c>
      <c r="I509">
        <v>50</v>
      </c>
      <c r="J509" s="23">
        <f t="shared" si="22"/>
        <v>50</v>
      </c>
      <c r="K509">
        <f t="shared" si="23"/>
        <v>50</v>
      </c>
    </row>
    <row r="510" spans="3:11" ht="16" x14ac:dyDescent="0.45">
      <c r="E510" t="s">
        <v>1136</v>
      </c>
      <c r="F510">
        <v>1</v>
      </c>
      <c r="G510">
        <v>50</v>
      </c>
      <c r="H510" s="23">
        <f t="shared" si="21"/>
        <v>50</v>
      </c>
      <c r="I510">
        <v>25</v>
      </c>
      <c r="J510" s="23">
        <f t="shared" si="22"/>
        <v>25</v>
      </c>
      <c r="K510">
        <f t="shared" si="23"/>
        <v>25</v>
      </c>
    </row>
    <row r="511" spans="3:11" ht="16" x14ac:dyDescent="0.45">
      <c r="E511" t="s">
        <v>1074</v>
      </c>
      <c r="F511">
        <v>1</v>
      </c>
      <c r="G511">
        <v>50</v>
      </c>
      <c r="H511" s="23">
        <f t="shared" si="21"/>
        <v>50</v>
      </c>
      <c r="I511">
        <v>22</v>
      </c>
      <c r="J511" s="23">
        <f t="shared" si="22"/>
        <v>22</v>
      </c>
      <c r="K511">
        <f t="shared" si="23"/>
        <v>28</v>
      </c>
    </row>
    <row r="512" spans="3:11" ht="16" x14ac:dyDescent="0.45">
      <c r="E512" t="s">
        <v>944</v>
      </c>
      <c r="F512">
        <v>20</v>
      </c>
      <c r="G512">
        <v>2</v>
      </c>
      <c r="H512" s="23">
        <f t="shared" si="21"/>
        <v>40</v>
      </c>
      <c r="I512">
        <v>0.9</v>
      </c>
      <c r="J512" s="23">
        <f t="shared" si="22"/>
        <v>18</v>
      </c>
      <c r="K512">
        <f t="shared" si="23"/>
        <v>22</v>
      </c>
    </row>
    <row r="513" spans="3:11" ht="16" x14ac:dyDescent="0.45">
      <c r="E513" t="s">
        <v>1137</v>
      </c>
      <c r="F513">
        <v>1</v>
      </c>
      <c r="G513">
        <v>20</v>
      </c>
      <c r="H513" s="23">
        <f t="shared" si="21"/>
        <v>20</v>
      </c>
      <c r="I513">
        <v>6</v>
      </c>
      <c r="J513" s="23">
        <f t="shared" si="22"/>
        <v>6</v>
      </c>
      <c r="K513">
        <f t="shared" si="23"/>
        <v>14</v>
      </c>
    </row>
    <row r="514" spans="3:11" ht="16" x14ac:dyDescent="0.45">
      <c r="E514" t="s">
        <v>964</v>
      </c>
      <c r="F514">
        <v>3</v>
      </c>
      <c r="G514">
        <v>20</v>
      </c>
      <c r="H514" s="23">
        <f t="shared" si="21"/>
        <v>60</v>
      </c>
      <c r="I514">
        <v>3.3</v>
      </c>
      <c r="J514" s="23">
        <f t="shared" si="22"/>
        <v>9.8999999999999986</v>
      </c>
      <c r="K514">
        <f t="shared" si="23"/>
        <v>50.1</v>
      </c>
    </row>
    <row r="515" spans="3:11" ht="16" x14ac:dyDescent="0.45">
      <c r="C515" t="s">
        <v>1138</v>
      </c>
      <c r="E515" t="s">
        <v>968</v>
      </c>
      <c r="F515">
        <v>15</v>
      </c>
      <c r="G515">
        <v>5</v>
      </c>
      <c r="H515" s="23">
        <f t="shared" si="21"/>
        <v>75</v>
      </c>
      <c r="I515">
        <v>1.2</v>
      </c>
      <c r="J515" s="23">
        <f t="shared" si="22"/>
        <v>18</v>
      </c>
      <c r="K515">
        <f t="shared" si="23"/>
        <v>57</v>
      </c>
    </row>
    <row r="516" spans="3:11" ht="16" x14ac:dyDescent="0.45">
      <c r="E516" t="s">
        <v>1079</v>
      </c>
      <c r="F516">
        <v>1</v>
      </c>
      <c r="G516">
        <v>50</v>
      </c>
      <c r="H516" s="23">
        <f t="shared" si="21"/>
        <v>50</v>
      </c>
      <c r="I516">
        <v>28</v>
      </c>
      <c r="J516" s="23">
        <f t="shared" si="22"/>
        <v>28</v>
      </c>
      <c r="K516">
        <f t="shared" si="23"/>
        <v>22</v>
      </c>
    </row>
    <row r="517" spans="3:11" ht="16" x14ac:dyDescent="0.45">
      <c r="E517" t="s">
        <v>1075</v>
      </c>
      <c r="F517">
        <v>1</v>
      </c>
      <c r="G517">
        <v>50</v>
      </c>
      <c r="H517" s="23">
        <f t="shared" si="21"/>
        <v>50</v>
      </c>
      <c r="I517">
        <v>15</v>
      </c>
      <c r="J517" s="23">
        <f t="shared" si="22"/>
        <v>15</v>
      </c>
      <c r="K517">
        <f t="shared" si="23"/>
        <v>35</v>
      </c>
    </row>
    <row r="518" spans="3:11" ht="16" x14ac:dyDescent="0.45">
      <c r="E518" t="s">
        <v>1081</v>
      </c>
      <c r="F518">
        <v>10</v>
      </c>
      <c r="G518">
        <v>2</v>
      </c>
      <c r="H518" s="23">
        <f t="shared" ref="H518:H581" si="24">F518*G518</f>
        <v>20</v>
      </c>
      <c r="I518">
        <v>0.4</v>
      </c>
      <c r="J518" s="23">
        <f t="shared" ref="J518:J581" si="25">F518*I518</f>
        <v>4</v>
      </c>
      <c r="K518">
        <f t="shared" ref="K518:K581" si="26">H518-J518</f>
        <v>16</v>
      </c>
    </row>
    <row r="519" spans="3:11" ht="16" x14ac:dyDescent="0.45">
      <c r="E519" t="s">
        <v>957</v>
      </c>
      <c r="F519">
        <v>10</v>
      </c>
      <c r="G519">
        <v>2</v>
      </c>
      <c r="H519" s="23">
        <f t="shared" si="24"/>
        <v>20</v>
      </c>
      <c r="I519">
        <v>0.65</v>
      </c>
      <c r="J519" s="23">
        <f t="shared" si="25"/>
        <v>6.5</v>
      </c>
      <c r="K519">
        <f t="shared" si="26"/>
        <v>13.5</v>
      </c>
    </row>
    <row r="520" spans="3:11" ht="16" x14ac:dyDescent="0.45">
      <c r="E520" t="s">
        <v>952</v>
      </c>
      <c r="F520">
        <v>8</v>
      </c>
      <c r="G520">
        <v>5</v>
      </c>
      <c r="H520" s="23">
        <f t="shared" si="24"/>
        <v>40</v>
      </c>
      <c r="I520">
        <v>0.9</v>
      </c>
      <c r="J520" s="23">
        <f t="shared" si="25"/>
        <v>7.2</v>
      </c>
      <c r="K520">
        <f t="shared" si="26"/>
        <v>32.799999999999997</v>
      </c>
    </row>
    <row r="521" spans="3:11" ht="16" x14ac:dyDescent="0.45">
      <c r="E521" t="s">
        <v>1053</v>
      </c>
      <c r="F521">
        <v>5</v>
      </c>
      <c r="G521">
        <v>10</v>
      </c>
      <c r="H521" s="23">
        <f t="shared" si="24"/>
        <v>50</v>
      </c>
      <c r="I521">
        <v>3.5</v>
      </c>
      <c r="J521" s="23">
        <f t="shared" si="25"/>
        <v>17.5</v>
      </c>
      <c r="K521">
        <f t="shared" si="26"/>
        <v>32.5</v>
      </c>
    </row>
    <row r="522" spans="3:11" ht="16" x14ac:dyDescent="0.45">
      <c r="E522" t="s">
        <v>969</v>
      </c>
      <c r="F522">
        <v>1</v>
      </c>
      <c r="G522">
        <v>50</v>
      </c>
      <c r="H522" s="23">
        <f t="shared" si="24"/>
        <v>50</v>
      </c>
      <c r="I522">
        <v>38</v>
      </c>
      <c r="J522" s="23">
        <f t="shared" si="25"/>
        <v>38</v>
      </c>
      <c r="K522">
        <f t="shared" si="26"/>
        <v>12</v>
      </c>
    </row>
    <row r="523" spans="3:11" ht="16" x14ac:dyDescent="0.45">
      <c r="E523" t="s">
        <v>1134</v>
      </c>
      <c r="F523">
        <v>10</v>
      </c>
      <c r="G523">
        <v>30</v>
      </c>
      <c r="H523" s="23">
        <f t="shared" si="24"/>
        <v>300</v>
      </c>
      <c r="I523">
        <v>1.3</v>
      </c>
      <c r="J523" s="23">
        <f t="shared" si="25"/>
        <v>13</v>
      </c>
      <c r="K523">
        <f t="shared" si="26"/>
        <v>287</v>
      </c>
    </row>
    <row r="524" spans="3:11" ht="16" x14ac:dyDescent="0.45">
      <c r="E524" t="s">
        <v>950</v>
      </c>
      <c r="F524">
        <v>1</v>
      </c>
      <c r="G524">
        <v>10</v>
      </c>
      <c r="H524" s="23">
        <f t="shared" si="24"/>
        <v>10</v>
      </c>
      <c r="I524">
        <v>7</v>
      </c>
      <c r="J524" s="23">
        <f t="shared" si="25"/>
        <v>7</v>
      </c>
      <c r="K524">
        <f t="shared" si="26"/>
        <v>3</v>
      </c>
    </row>
    <row r="525" spans="3:11" ht="16" x14ac:dyDescent="0.45">
      <c r="E525" t="s">
        <v>973</v>
      </c>
      <c r="F525">
        <v>1</v>
      </c>
      <c r="G525">
        <v>50</v>
      </c>
      <c r="H525" s="23">
        <f t="shared" si="24"/>
        <v>50</v>
      </c>
      <c r="I525">
        <v>10</v>
      </c>
      <c r="J525" s="23">
        <f t="shared" si="25"/>
        <v>10</v>
      </c>
      <c r="K525">
        <f t="shared" si="26"/>
        <v>40</v>
      </c>
    </row>
    <row r="526" spans="3:11" ht="16" x14ac:dyDescent="0.45">
      <c r="E526" t="s">
        <v>964</v>
      </c>
      <c r="F526">
        <v>1</v>
      </c>
      <c r="G526">
        <v>20</v>
      </c>
      <c r="H526" s="23">
        <f t="shared" si="24"/>
        <v>20</v>
      </c>
      <c r="I526">
        <v>3.3</v>
      </c>
      <c r="J526" s="23">
        <f t="shared" si="25"/>
        <v>3.3</v>
      </c>
      <c r="K526">
        <f t="shared" si="26"/>
        <v>16.7</v>
      </c>
    </row>
    <row r="527" spans="3:11" ht="16" x14ac:dyDescent="0.45">
      <c r="E527" t="s">
        <v>1139</v>
      </c>
      <c r="F527">
        <v>1</v>
      </c>
      <c r="G527">
        <v>20</v>
      </c>
      <c r="H527" s="23">
        <f t="shared" si="24"/>
        <v>20</v>
      </c>
      <c r="I527">
        <v>14</v>
      </c>
      <c r="J527" s="23">
        <f t="shared" si="25"/>
        <v>14</v>
      </c>
      <c r="K527">
        <f t="shared" si="26"/>
        <v>6</v>
      </c>
    </row>
    <row r="528" spans="3:11" ht="16" x14ac:dyDescent="0.45">
      <c r="C528" t="s">
        <v>1140</v>
      </c>
      <c r="E528" t="s">
        <v>1041</v>
      </c>
      <c r="F528">
        <v>2</v>
      </c>
      <c r="G528">
        <v>5</v>
      </c>
      <c r="H528" s="23">
        <f t="shared" si="24"/>
        <v>10</v>
      </c>
      <c r="I528">
        <v>2</v>
      </c>
      <c r="J528" s="23">
        <f t="shared" si="25"/>
        <v>4</v>
      </c>
      <c r="K528">
        <f t="shared" si="26"/>
        <v>6</v>
      </c>
    </row>
    <row r="529" spans="3:11" ht="16" x14ac:dyDescent="0.45">
      <c r="E529" t="s">
        <v>952</v>
      </c>
      <c r="F529">
        <v>1</v>
      </c>
      <c r="G529">
        <v>50</v>
      </c>
      <c r="H529" s="23">
        <f t="shared" si="24"/>
        <v>50</v>
      </c>
      <c r="I529">
        <v>25</v>
      </c>
      <c r="J529" s="23">
        <f t="shared" si="25"/>
        <v>25</v>
      </c>
      <c r="K529">
        <f t="shared" si="26"/>
        <v>25</v>
      </c>
    </row>
    <row r="530" spans="3:11" ht="16" x14ac:dyDescent="0.45">
      <c r="E530" t="s">
        <v>1075</v>
      </c>
      <c r="F530">
        <v>1</v>
      </c>
      <c r="G530">
        <v>50</v>
      </c>
      <c r="H530" s="23">
        <f t="shared" si="24"/>
        <v>50</v>
      </c>
      <c r="I530">
        <v>15</v>
      </c>
      <c r="J530" s="23">
        <f t="shared" si="25"/>
        <v>15</v>
      </c>
      <c r="K530">
        <f t="shared" si="26"/>
        <v>35</v>
      </c>
    </row>
    <row r="531" spans="3:11" ht="16" x14ac:dyDescent="0.45">
      <c r="E531" t="s">
        <v>952</v>
      </c>
      <c r="F531">
        <v>4</v>
      </c>
      <c r="G531">
        <v>5</v>
      </c>
      <c r="H531" s="23">
        <f t="shared" si="24"/>
        <v>20</v>
      </c>
      <c r="I531">
        <v>0.9</v>
      </c>
      <c r="J531" s="23">
        <f t="shared" si="25"/>
        <v>3.6</v>
      </c>
      <c r="K531">
        <f t="shared" si="26"/>
        <v>16.399999999999999</v>
      </c>
    </row>
    <row r="532" spans="3:11" ht="16" x14ac:dyDescent="0.45">
      <c r="E532" t="s">
        <v>933</v>
      </c>
      <c r="F532">
        <v>6</v>
      </c>
      <c r="G532">
        <v>5</v>
      </c>
      <c r="H532" s="23">
        <f t="shared" si="24"/>
        <v>30</v>
      </c>
      <c r="I532">
        <v>0.9</v>
      </c>
      <c r="J532" s="23">
        <f t="shared" si="25"/>
        <v>5.4</v>
      </c>
      <c r="K532">
        <f t="shared" si="26"/>
        <v>24.6</v>
      </c>
    </row>
    <row r="533" spans="3:11" ht="16" x14ac:dyDescent="0.45">
      <c r="E533" t="s">
        <v>1057</v>
      </c>
      <c r="F533">
        <v>10</v>
      </c>
      <c r="G533">
        <v>2</v>
      </c>
      <c r="H533" s="23">
        <f t="shared" si="24"/>
        <v>20</v>
      </c>
      <c r="I533">
        <v>0.35</v>
      </c>
      <c r="J533" s="23">
        <f t="shared" si="25"/>
        <v>3.5</v>
      </c>
      <c r="K533">
        <f t="shared" si="26"/>
        <v>16.5</v>
      </c>
    </row>
    <row r="534" spans="3:11" ht="16" x14ac:dyDescent="0.45">
      <c r="E534" t="s">
        <v>1124</v>
      </c>
      <c r="F534">
        <v>10</v>
      </c>
      <c r="G534">
        <v>5</v>
      </c>
      <c r="H534" s="23">
        <f t="shared" si="24"/>
        <v>50</v>
      </c>
      <c r="I534">
        <v>0.9</v>
      </c>
      <c r="J534" s="23">
        <f t="shared" si="25"/>
        <v>9</v>
      </c>
      <c r="K534">
        <f t="shared" si="26"/>
        <v>41</v>
      </c>
    </row>
    <row r="535" spans="3:11" ht="16" x14ac:dyDescent="0.45">
      <c r="E535" t="s">
        <v>944</v>
      </c>
      <c r="F535">
        <v>10</v>
      </c>
      <c r="G535">
        <v>2</v>
      </c>
      <c r="H535" s="23">
        <f t="shared" si="24"/>
        <v>20</v>
      </c>
      <c r="I535">
        <v>0.9</v>
      </c>
      <c r="J535" s="23">
        <f t="shared" si="25"/>
        <v>9</v>
      </c>
      <c r="K535">
        <f t="shared" si="26"/>
        <v>11</v>
      </c>
    </row>
    <row r="536" spans="3:11" ht="16" x14ac:dyDescent="0.45">
      <c r="E536" t="s">
        <v>1156</v>
      </c>
      <c r="F536">
        <v>10</v>
      </c>
      <c r="G536">
        <v>10</v>
      </c>
      <c r="H536" s="23">
        <f t="shared" si="24"/>
        <v>100</v>
      </c>
      <c r="I536">
        <v>2.1</v>
      </c>
      <c r="J536" s="23">
        <f t="shared" si="25"/>
        <v>21</v>
      </c>
      <c r="K536">
        <f t="shared" si="26"/>
        <v>79</v>
      </c>
    </row>
    <row r="537" spans="3:11" ht="16" x14ac:dyDescent="0.45">
      <c r="E537" t="s">
        <v>949</v>
      </c>
      <c r="F537">
        <v>1</v>
      </c>
      <c r="G537">
        <v>20</v>
      </c>
      <c r="H537" s="23">
        <f t="shared" si="24"/>
        <v>20</v>
      </c>
      <c r="I537">
        <v>10.5</v>
      </c>
      <c r="J537" s="23">
        <f t="shared" si="25"/>
        <v>10.5</v>
      </c>
      <c r="K537">
        <f t="shared" si="26"/>
        <v>9.5</v>
      </c>
    </row>
    <row r="538" spans="3:11" ht="16" x14ac:dyDescent="0.45">
      <c r="E538" t="s">
        <v>1157</v>
      </c>
      <c r="F538">
        <v>1</v>
      </c>
      <c r="G538">
        <v>250</v>
      </c>
      <c r="H538" s="23">
        <f t="shared" si="24"/>
        <v>250</v>
      </c>
      <c r="I538">
        <v>150</v>
      </c>
      <c r="J538" s="23">
        <f t="shared" si="25"/>
        <v>150</v>
      </c>
      <c r="K538">
        <f t="shared" si="26"/>
        <v>100</v>
      </c>
    </row>
    <row r="539" spans="3:11" ht="16" x14ac:dyDescent="0.45">
      <c r="E539" t="s">
        <v>1158</v>
      </c>
      <c r="F539">
        <v>2</v>
      </c>
      <c r="G539">
        <v>10</v>
      </c>
      <c r="H539" s="23">
        <f t="shared" si="24"/>
        <v>20</v>
      </c>
      <c r="I539">
        <v>7</v>
      </c>
      <c r="J539" s="23">
        <f t="shared" si="25"/>
        <v>14</v>
      </c>
      <c r="K539">
        <f t="shared" si="26"/>
        <v>6</v>
      </c>
    </row>
    <row r="540" spans="3:11" ht="16" x14ac:dyDescent="0.45">
      <c r="E540" t="s">
        <v>955</v>
      </c>
      <c r="F540">
        <v>1</v>
      </c>
      <c r="G540">
        <v>20</v>
      </c>
      <c r="H540" s="23">
        <f t="shared" si="24"/>
        <v>20</v>
      </c>
      <c r="I540">
        <v>14</v>
      </c>
      <c r="J540" s="23">
        <f t="shared" si="25"/>
        <v>14</v>
      </c>
      <c r="K540">
        <f t="shared" si="26"/>
        <v>6</v>
      </c>
    </row>
    <row r="541" spans="3:11" ht="16" x14ac:dyDescent="0.45">
      <c r="C541" t="s">
        <v>1141</v>
      </c>
      <c r="E541" t="s">
        <v>950</v>
      </c>
      <c r="F541">
        <v>1</v>
      </c>
      <c r="G541">
        <v>10</v>
      </c>
      <c r="H541" s="23">
        <f t="shared" si="24"/>
        <v>10</v>
      </c>
      <c r="I541">
        <v>7</v>
      </c>
      <c r="J541" s="23">
        <f t="shared" si="25"/>
        <v>7</v>
      </c>
      <c r="K541">
        <f t="shared" si="26"/>
        <v>3</v>
      </c>
    </row>
    <row r="542" spans="3:11" ht="16" x14ac:dyDescent="0.45">
      <c r="E542" t="s">
        <v>952</v>
      </c>
      <c r="F542">
        <v>2</v>
      </c>
      <c r="G542">
        <v>5</v>
      </c>
      <c r="H542" s="23">
        <f t="shared" si="24"/>
        <v>10</v>
      </c>
      <c r="I542">
        <v>0.9</v>
      </c>
      <c r="J542" s="23">
        <f t="shared" si="25"/>
        <v>1.8</v>
      </c>
      <c r="K542">
        <f t="shared" si="26"/>
        <v>8.1999999999999993</v>
      </c>
    </row>
    <row r="543" spans="3:11" ht="16" x14ac:dyDescent="0.45">
      <c r="E543" t="s">
        <v>988</v>
      </c>
      <c r="F543">
        <v>1</v>
      </c>
      <c r="G543">
        <v>150</v>
      </c>
      <c r="H543" s="23">
        <f t="shared" si="24"/>
        <v>150</v>
      </c>
      <c r="I543">
        <v>100</v>
      </c>
      <c r="J543" s="23">
        <f t="shared" si="25"/>
        <v>100</v>
      </c>
      <c r="K543">
        <f t="shared" si="26"/>
        <v>50</v>
      </c>
    </row>
    <row r="544" spans="3:11" ht="16" x14ac:dyDescent="0.45">
      <c r="E544" t="s">
        <v>973</v>
      </c>
      <c r="F544">
        <v>1</v>
      </c>
      <c r="G544">
        <v>50</v>
      </c>
      <c r="H544" s="23">
        <f t="shared" si="24"/>
        <v>50</v>
      </c>
      <c r="I544">
        <v>10</v>
      </c>
      <c r="J544" s="23">
        <f t="shared" si="25"/>
        <v>10</v>
      </c>
      <c r="K544">
        <f t="shared" si="26"/>
        <v>40</v>
      </c>
    </row>
    <row r="545" spans="3:11" ht="16" x14ac:dyDescent="0.45">
      <c r="E545" t="s">
        <v>1159</v>
      </c>
      <c r="F545">
        <v>1</v>
      </c>
      <c r="G545">
        <v>30</v>
      </c>
      <c r="H545" s="23">
        <f t="shared" si="24"/>
        <v>30</v>
      </c>
      <c r="I545">
        <v>27</v>
      </c>
      <c r="J545" s="23">
        <f t="shared" si="25"/>
        <v>27</v>
      </c>
      <c r="K545">
        <f t="shared" si="26"/>
        <v>3</v>
      </c>
    </row>
    <row r="546" spans="3:11" ht="16" x14ac:dyDescent="0.45">
      <c r="E546" t="s">
        <v>991</v>
      </c>
      <c r="F546">
        <v>2</v>
      </c>
      <c r="G546">
        <v>20</v>
      </c>
      <c r="H546" s="23">
        <f t="shared" si="24"/>
        <v>40</v>
      </c>
      <c r="I546">
        <v>16</v>
      </c>
      <c r="J546" s="23">
        <f t="shared" si="25"/>
        <v>32</v>
      </c>
      <c r="K546">
        <f t="shared" si="26"/>
        <v>8</v>
      </c>
    </row>
    <row r="547" spans="3:11" ht="16" x14ac:dyDescent="0.45">
      <c r="E547" t="s">
        <v>973</v>
      </c>
      <c r="F547">
        <v>1</v>
      </c>
      <c r="G547">
        <v>50</v>
      </c>
      <c r="H547" s="23">
        <f t="shared" si="24"/>
        <v>50</v>
      </c>
      <c r="I547">
        <v>10</v>
      </c>
      <c r="J547" s="23">
        <f t="shared" si="25"/>
        <v>10</v>
      </c>
      <c r="K547">
        <f t="shared" si="26"/>
        <v>40</v>
      </c>
    </row>
    <row r="548" spans="3:11" ht="16" x14ac:dyDescent="0.45">
      <c r="C548" t="s">
        <v>1160</v>
      </c>
      <c r="E548" t="s">
        <v>944</v>
      </c>
      <c r="F548">
        <v>10</v>
      </c>
      <c r="G548">
        <v>2</v>
      </c>
      <c r="H548" s="23">
        <f t="shared" si="24"/>
        <v>20</v>
      </c>
      <c r="I548">
        <v>0.9</v>
      </c>
      <c r="J548" s="23">
        <f t="shared" si="25"/>
        <v>9</v>
      </c>
      <c r="K548">
        <f t="shared" si="26"/>
        <v>11</v>
      </c>
    </row>
    <row r="549" spans="3:11" ht="16" x14ac:dyDescent="0.45">
      <c r="E549" t="s">
        <v>950</v>
      </c>
      <c r="F549">
        <v>1</v>
      </c>
      <c r="G549">
        <v>10</v>
      </c>
      <c r="H549" s="23">
        <f t="shared" si="24"/>
        <v>10</v>
      </c>
      <c r="I549">
        <v>7</v>
      </c>
      <c r="J549" s="23">
        <f t="shared" si="25"/>
        <v>7</v>
      </c>
      <c r="K549">
        <f t="shared" si="26"/>
        <v>3</v>
      </c>
    </row>
    <row r="550" spans="3:11" ht="16" x14ac:dyDescent="0.45">
      <c r="E550" s="31" t="s">
        <v>1161</v>
      </c>
      <c r="F550">
        <v>2</v>
      </c>
      <c r="G550">
        <v>20</v>
      </c>
      <c r="H550" s="23">
        <f t="shared" si="24"/>
        <v>40</v>
      </c>
      <c r="I550">
        <v>3.3</v>
      </c>
      <c r="J550" s="23">
        <f t="shared" si="25"/>
        <v>6.6</v>
      </c>
      <c r="K550">
        <f t="shared" si="26"/>
        <v>33.4</v>
      </c>
    </row>
    <row r="551" spans="3:11" ht="16" x14ac:dyDescent="0.45">
      <c r="E551" t="s">
        <v>964</v>
      </c>
      <c r="F551">
        <v>2</v>
      </c>
      <c r="G551">
        <v>10</v>
      </c>
      <c r="H551" s="23">
        <f t="shared" si="24"/>
        <v>20</v>
      </c>
      <c r="I551">
        <v>2.2999999999999998</v>
      </c>
      <c r="J551" s="23">
        <f t="shared" si="25"/>
        <v>4.5999999999999996</v>
      </c>
      <c r="K551">
        <f t="shared" si="26"/>
        <v>15.4</v>
      </c>
    </row>
    <row r="552" spans="3:11" ht="16" x14ac:dyDescent="0.45">
      <c r="E552" t="s">
        <v>973</v>
      </c>
      <c r="F552">
        <v>2</v>
      </c>
      <c r="G552">
        <v>50</v>
      </c>
      <c r="H552" s="23">
        <f t="shared" si="24"/>
        <v>100</v>
      </c>
      <c r="I552">
        <v>10</v>
      </c>
      <c r="J552" s="23">
        <f t="shared" si="25"/>
        <v>20</v>
      </c>
      <c r="K552">
        <f t="shared" si="26"/>
        <v>80</v>
      </c>
    </row>
    <row r="553" spans="3:11" ht="16" x14ac:dyDescent="0.45">
      <c r="E553" t="s">
        <v>1132</v>
      </c>
      <c r="F553">
        <v>2</v>
      </c>
      <c r="G553">
        <v>5</v>
      </c>
      <c r="H553" s="23">
        <f t="shared" si="24"/>
        <v>10</v>
      </c>
      <c r="I553">
        <v>0.65</v>
      </c>
      <c r="J553" s="23">
        <f t="shared" si="25"/>
        <v>1.3</v>
      </c>
      <c r="K553">
        <f t="shared" si="26"/>
        <v>8.6999999999999993</v>
      </c>
    </row>
    <row r="554" spans="3:11" ht="16" x14ac:dyDescent="0.45">
      <c r="E554" t="s">
        <v>1134</v>
      </c>
      <c r="F554">
        <v>5</v>
      </c>
      <c r="G554">
        <v>2</v>
      </c>
      <c r="H554" s="23">
        <f t="shared" si="24"/>
        <v>10</v>
      </c>
      <c r="I554">
        <v>1.3</v>
      </c>
      <c r="J554" s="23">
        <f t="shared" si="25"/>
        <v>6.5</v>
      </c>
      <c r="K554">
        <f t="shared" si="26"/>
        <v>3.5</v>
      </c>
    </row>
    <row r="555" spans="3:11" ht="16" x14ac:dyDescent="0.45">
      <c r="E555" t="s">
        <v>955</v>
      </c>
      <c r="F555">
        <v>1</v>
      </c>
      <c r="G555">
        <v>20</v>
      </c>
      <c r="H555" s="23">
        <f t="shared" si="24"/>
        <v>20</v>
      </c>
      <c r="I555">
        <v>14</v>
      </c>
      <c r="J555" s="23">
        <f t="shared" si="25"/>
        <v>14</v>
      </c>
      <c r="K555">
        <f t="shared" si="26"/>
        <v>6</v>
      </c>
    </row>
    <row r="556" spans="3:11" ht="16" x14ac:dyDescent="0.45">
      <c r="E556" t="s">
        <v>1162</v>
      </c>
      <c r="F556">
        <v>1</v>
      </c>
      <c r="G556">
        <v>100</v>
      </c>
      <c r="H556" s="23">
        <f t="shared" si="24"/>
        <v>100</v>
      </c>
      <c r="I556">
        <v>60</v>
      </c>
      <c r="J556" s="23">
        <f t="shared" si="25"/>
        <v>60</v>
      </c>
      <c r="K556">
        <f t="shared" si="26"/>
        <v>40</v>
      </c>
    </row>
    <row r="557" spans="3:11" ht="16" x14ac:dyDescent="0.45">
      <c r="E557" t="s">
        <v>1079</v>
      </c>
      <c r="F557">
        <v>2</v>
      </c>
      <c r="G557">
        <v>50</v>
      </c>
      <c r="H557" s="23">
        <f t="shared" si="24"/>
        <v>100</v>
      </c>
      <c r="I557">
        <v>28</v>
      </c>
      <c r="J557" s="23">
        <f t="shared" si="25"/>
        <v>56</v>
      </c>
      <c r="K557">
        <f t="shared" si="26"/>
        <v>44</v>
      </c>
    </row>
    <row r="558" spans="3:11" ht="16" x14ac:dyDescent="0.45">
      <c r="E558" t="s">
        <v>939</v>
      </c>
      <c r="F558">
        <v>1</v>
      </c>
      <c r="G558">
        <v>50</v>
      </c>
      <c r="H558" s="23">
        <f t="shared" si="24"/>
        <v>50</v>
      </c>
      <c r="I558">
        <v>25</v>
      </c>
      <c r="J558" s="23">
        <f t="shared" si="25"/>
        <v>25</v>
      </c>
      <c r="K558">
        <f t="shared" si="26"/>
        <v>25</v>
      </c>
    </row>
    <row r="559" spans="3:11" ht="16" x14ac:dyDescent="0.45">
      <c r="E559" t="s">
        <v>1163</v>
      </c>
      <c r="F559">
        <v>1</v>
      </c>
      <c r="G559">
        <v>100</v>
      </c>
      <c r="H559" s="23">
        <f t="shared" si="24"/>
        <v>100</v>
      </c>
      <c r="I559">
        <v>48</v>
      </c>
      <c r="J559" s="23">
        <f t="shared" si="25"/>
        <v>48</v>
      </c>
      <c r="K559">
        <f t="shared" si="26"/>
        <v>52</v>
      </c>
    </row>
    <row r="560" spans="3:11" ht="16" x14ac:dyDescent="0.45">
      <c r="C560" t="s">
        <v>1165</v>
      </c>
      <c r="E560" t="s">
        <v>977</v>
      </c>
      <c r="F560">
        <v>2</v>
      </c>
      <c r="G560">
        <v>200</v>
      </c>
      <c r="H560" s="23">
        <f t="shared" si="24"/>
        <v>400</v>
      </c>
      <c r="I560">
        <v>165</v>
      </c>
      <c r="J560" s="23">
        <f t="shared" si="25"/>
        <v>330</v>
      </c>
      <c r="K560">
        <f t="shared" si="26"/>
        <v>70</v>
      </c>
    </row>
    <row r="561" spans="3:11" ht="16" x14ac:dyDescent="0.45">
      <c r="E561" t="s">
        <v>1166</v>
      </c>
      <c r="F561">
        <v>1</v>
      </c>
      <c r="G561">
        <v>10</v>
      </c>
      <c r="H561" s="23">
        <f t="shared" si="24"/>
        <v>10</v>
      </c>
      <c r="I561">
        <v>5</v>
      </c>
      <c r="J561" s="23">
        <f t="shared" si="25"/>
        <v>5</v>
      </c>
      <c r="K561">
        <f t="shared" si="26"/>
        <v>5</v>
      </c>
    </row>
    <row r="562" spans="3:11" ht="16" x14ac:dyDescent="0.45">
      <c r="E562" t="s">
        <v>1115</v>
      </c>
      <c r="F562">
        <v>1</v>
      </c>
      <c r="G562">
        <v>50</v>
      </c>
      <c r="H562" s="23">
        <f t="shared" si="24"/>
        <v>50</v>
      </c>
      <c r="I562">
        <v>13</v>
      </c>
      <c r="J562" s="23">
        <f t="shared" si="25"/>
        <v>13</v>
      </c>
      <c r="K562">
        <f t="shared" si="26"/>
        <v>37</v>
      </c>
    </row>
    <row r="563" spans="3:11" ht="16" x14ac:dyDescent="0.45">
      <c r="E563" t="s">
        <v>968</v>
      </c>
      <c r="F563">
        <v>5</v>
      </c>
      <c r="G563">
        <v>10</v>
      </c>
      <c r="H563" s="23">
        <f t="shared" si="24"/>
        <v>50</v>
      </c>
      <c r="I563">
        <v>3.5</v>
      </c>
      <c r="J563" s="23">
        <f t="shared" si="25"/>
        <v>17.5</v>
      </c>
      <c r="K563">
        <f t="shared" si="26"/>
        <v>32.5</v>
      </c>
    </row>
    <row r="564" spans="3:11" ht="16" x14ac:dyDescent="0.45">
      <c r="E564" t="s">
        <v>1167</v>
      </c>
      <c r="F564">
        <v>3</v>
      </c>
      <c r="G564">
        <v>20</v>
      </c>
      <c r="H564" s="23">
        <f t="shared" si="24"/>
        <v>60</v>
      </c>
      <c r="I564">
        <v>3.3</v>
      </c>
      <c r="J564" s="23">
        <f t="shared" si="25"/>
        <v>9.8999999999999986</v>
      </c>
      <c r="K564">
        <f t="shared" si="26"/>
        <v>50.1</v>
      </c>
    </row>
    <row r="565" spans="3:11" ht="16" x14ac:dyDescent="0.45">
      <c r="E565" t="s">
        <v>955</v>
      </c>
      <c r="F565">
        <v>1</v>
      </c>
      <c r="G565">
        <v>20</v>
      </c>
      <c r="H565" s="23">
        <f t="shared" si="24"/>
        <v>20</v>
      </c>
      <c r="I565">
        <v>14</v>
      </c>
      <c r="J565" s="23">
        <f t="shared" si="25"/>
        <v>14</v>
      </c>
      <c r="K565">
        <f t="shared" si="26"/>
        <v>6</v>
      </c>
    </row>
    <row r="566" spans="3:11" ht="16" x14ac:dyDescent="0.45">
      <c r="E566" t="s">
        <v>1075</v>
      </c>
      <c r="F566">
        <v>2</v>
      </c>
      <c r="G566">
        <v>50</v>
      </c>
      <c r="H566" s="23">
        <f t="shared" si="24"/>
        <v>100</v>
      </c>
      <c r="I566">
        <v>24</v>
      </c>
      <c r="J566" s="23">
        <f t="shared" si="25"/>
        <v>48</v>
      </c>
      <c r="K566">
        <f t="shared" si="26"/>
        <v>52</v>
      </c>
    </row>
    <row r="567" spans="3:11" ht="16" x14ac:dyDescent="0.45">
      <c r="E567" t="s">
        <v>1168</v>
      </c>
      <c r="F567">
        <v>1</v>
      </c>
      <c r="G567">
        <v>200</v>
      </c>
      <c r="H567" s="23">
        <f t="shared" si="24"/>
        <v>200</v>
      </c>
      <c r="I567">
        <v>35</v>
      </c>
      <c r="J567" s="23">
        <f t="shared" si="25"/>
        <v>35</v>
      </c>
      <c r="K567">
        <f t="shared" si="26"/>
        <v>165</v>
      </c>
    </row>
    <row r="568" spans="3:11" ht="16" x14ac:dyDescent="0.45">
      <c r="E568" t="s">
        <v>991</v>
      </c>
      <c r="F568">
        <v>2</v>
      </c>
      <c r="G568">
        <v>20</v>
      </c>
      <c r="H568" s="23">
        <f t="shared" si="24"/>
        <v>40</v>
      </c>
      <c r="I568">
        <v>16</v>
      </c>
      <c r="J568" s="23">
        <f t="shared" si="25"/>
        <v>32</v>
      </c>
      <c r="K568">
        <f t="shared" si="26"/>
        <v>8</v>
      </c>
    </row>
    <row r="569" spans="3:11" ht="16" x14ac:dyDescent="0.45">
      <c r="C569" t="s">
        <v>1169</v>
      </c>
      <c r="E569" t="s">
        <v>940</v>
      </c>
      <c r="F569">
        <v>4</v>
      </c>
      <c r="G569">
        <v>2.5</v>
      </c>
      <c r="H569" s="23">
        <f t="shared" si="24"/>
        <v>10</v>
      </c>
      <c r="I569">
        <v>1.2</v>
      </c>
      <c r="J569" s="23">
        <f t="shared" si="25"/>
        <v>4.8</v>
      </c>
      <c r="K569">
        <f t="shared" si="26"/>
        <v>5.2</v>
      </c>
    </row>
    <row r="570" spans="3:11" ht="16" x14ac:dyDescent="0.45">
      <c r="E570" t="s">
        <v>1170</v>
      </c>
      <c r="F570">
        <v>4</v>
      </c>
      <c r="G570">
        <v>5</v>
      </c>
      <c r="H570" s="23">
        <f t="shared" si="24"/>
        <v>20</v>
      </c>
      <c r="I570">
        <v>1</v>
      </c>
      <c r="J570" s="23">
        <f t="shared" si="25"/>
        <v>4</v>
      </c>
      <c r="K570">
        <f t="shared" si="26"/>
        <v>16</v>
      </c>
    </row>
    <row r="571" spans="3:11" ht="16" x14ac:dyDescent="0.45">
      <c r="E571" t="s">
        <v>1075</v>
      </c>
      <c r="F571">
        <v>2</v>
      </c>
      <c r="G571">
        <v>50</v>
      </c>
      <c r="H571" s="23">
        <f t="shared" si="24"/>
        <v>100</v>
      </c>
      <c r="I571">
        <v>24</v>
      </c>
      <c r="J571" s="23">
        <f t="shared" si="25"/>
        <v>48</v>
      </c>
      <c r="K571">
        <f t="shared" si="26"/>
        <v>52</v>
      </c>
    </row>
    <row r="572" spans="3:11" ht="16" x14ac:dyDescent="0.45">
      <c r="E572" t="s">
        <v>1161</v>
      </c>
      <c r="F572">
        <v>7</v>
      </c>
      <c r="G572">
        <v>20</v>
      </c>
      <c r="H572" s="23">
        <f t="shared" si="24"/>
        <v>140</v>
      </c>
      <c r="I572">
        <v>3.3</v>
      </c>
      <c r="J572" s="23">
        <f t="shared" si="25"/>
        <v>23.099999999999998</v>
      </c>
      <c r="K572">
        <f t="shared" si="26"/>
        <v>116.9</v>
      </c>
    </row>
    <row r="573" spans="3:11" ht="16" x14ac:dyDescent="0.45">
      <c r="E573" t="s">
        <v>1171</v>
      </c>
      <c r="F573">
        <v>1</v>
      </c>
      <c r="G573">
        <v>50</v>
      </c>
      <c r="H573" s="23">
        <f t="shared" si="24"/>
        <v>50</v>
      </c>
      <c r="I573">
        <v>25</v>
      </c>
      <c r="J573" s="23">
        <f t="shared" si="25"/>
        <v>25</v>
      </c>
      <c r="K573">
        <f t="shared" si="26"/>
        <v>25</v>
      </c>
    </row>
    <row r="574" spans="3:11" ht="16" x14ac:dyDescent="0.45">
      <c r="E574" t="s">
        <v>950</v>
      </c>
      <c r="F574">
        <v>1</v>
      </c>
      <c r="G574">
        <v>10</v>
      </c>
      <c r="H574" s="23">
        <f t="shared" si="24"/>
        <v>10</v>
      </c>
      <c r="I574">
        <v>7</v>
      </c>
      <c r="J574" s="23">
        <f t="shared" si="25"/>
        <v>7</v>
      </c>
      <c r="K574">
        <f t="shared" si="26"/>
        <v>3</v>
      </c>
    </row>
    <row r="575" spans="3:11" ht="16" x14ac:dyDescent="0.45">
      <c r="E575" t="s">
        <v>1172</v>
      </c>
      <c r="F575">
        <v>1</v>
      </c>
      <c r="G575">
        <v>10</v>
      </c>
      <c r="H575" s="23">
        <f t="shared" si="24"/>
        <v>10</v>
      </c>
      <c r="I575">
        <v>2.5</v>
      </c>
      <c r="J575" s="23">
        <f t="shared" si="25"/>
        <v>2.5</v>
      </c>
      <c r="K575">
        <f t="shared" si="26"/>
        <v>7.5</v>
      </c>
    </row>
    <row r="576" spans="3:11" ht="16" x14ac:dyDescent="0.45">
      <c r="E576" t="s">
        <v>1173</v>
      </c>
      <c r="F576">
        <v>1</v>
      </c>
      <c r="G576">
        <v>50</v>
      </c>
      <c r="H576" s="23">
        <f t="shared" si="24"/>
        <v>50</v>
      </c>
      <c r="I576">
        <v>10</v>
      </c>
      <c r="J576" s="23">
        <f t="shared" si="25"/>
        <v>10</v>
      </c>
      <c r="K576">
        <f t="shared" si="26"/>
        <v>40</v>
      </c>
    </row>
    <row r="577" spans="3:11" ht="16" x14ac:dyDescent="0.45">
      <c r="E577" t="s">
        <v>938</v>
      </c>
      <c r="F577">
        <v>1</v>
      </c>
      <c r="G577">
        <v>20</v>
      </c>
      <c r="H577" s="23">
        <f t="shared" si="24"/>
        <v>20</v>
      </c>
      <c r="I577">
        <v>10</v>
      </c>
      <c r="J577" s="23">
        <f t="shared" si="25"/>
        <v>10</v>
      </c>
      <c r="K577">
        <f t="shared" si="26"/>
        <v>10</v>
      </c>
    </row>
    <row r="578" spans="3:11" ht="16" x14ac:dyDescent="0.45">
      <c r="E578" t="s">
        <v>933</v>
      </c>
      <c r="F578">
        <v>2</v>
      </c>
      <c r="G578">
        <v>5</v>
      </c>
      <c r="H578" s="23">
        <f t="shared" si="24"/>
        <v>10</v>
      </c>
      <c r="I578">
        <v>0.9</v>
      </c>
      <c r="J578" s="23">
        <f t="shared" si="25"/>
        <v>1.8</v>
      </c>
      <c r="K578">
        <f t="shared" si="26"/>
        <v>8.1999999999999993</v>
      </c>
    </row>
    <row r="579" spans="3:11" ht="16" x14ac:dyDescent="0.45">
      <c r="E579" t="s">
        <v>1174</v>
      </c>
      <c r="F579">
        <v>1</v>
      </c>
      <c r="G579">
        <v>100</v>
      </c>
      <c r="H579" s="23">
        <f t="shared" si="24"/>
        <v>100</v>
      </c>
      <c r="I579">
        <v>75</v>
      </c>
      <c r="J579" s="23">
        <f t="shared" si="25"/>
        <v>75</v>
      </c>
      <c r="K579">
        <f t="shared" si="26"/>
        <v>25</v>
      </c>
    </row>
    <row r="580" spans="3:11" ht="16" x14ac:dyDescent="0.45">
      <c r="E580" t="s">
        <v>973</v>
      </c>
      <c r="F580">
        <v>1</v>
      </c>
      <c r="G580">
        <v>50</v>
      </c>
      <c r="H580" s="23">
        <f t="shared" si="24"/>
        <v>50</v>
      </c>
      <c r="I580">
        <v>10</v>
      </c>
      <c r="J580" s="23">
        <f t="shared" si="25"/>
        <v>10</v>
      </c>
      <c r="K580">
        <f t="shared" si="26"/>
        <v>40</v>
      </c>
    </row>
    <row r="581" spans="3:11" ht="16" x14ac:dyDescent="0.45">
      <c r="C581" t="s">
        <v>1175</v>
      </c>
      <c r="E581" t="s">
        <v>996</v>
      </c>
      <c r="F581">
        <v>1</v>
      </c>
      <c r="G581">
        <v>150</v>
      </c>
      <c r="H581" s="23">
        <f t="shared" si="24"/>
        <v>150</v>
      </c>
      <c r="I581">
        <v>70</v>
      </c>
      <c r="J581" s="23">
        <f t="shared" si="25"/>
        <v>70</v>
      </c>
      <c r="K581">
        <f t="shared" si="26"/>
        <v>80</v>
      </c>
    </row>
    <row r="582" spans="3:11" ht="16" x14ac:dyDescent="0.45">
      <c r="E582" t="s">
        <v>1059</v>
      </c>
      <c r="F582">
        <v>1</v>
      </c>
      <c r="G582">
        <v>10</v>
      </c>
      <c r="H582" s="23">
        <f t="shared" ref="H582:H645" si="27">F582*G582</f>
        <v>10</v>
      </c>
      <c r="I582">
        <v>0.9</v>
      </c>
      <c r="J582" s="23">
        <f t="shared" ref="J582:J645" si="28">F582*I582</f>
        <v>0.9</v>
      </c>
      <c r="K582">
        <f t="shared" ref="K582:K645" si="29">H582-J582</f>
        <v>9.1</v>
      </c>
    </row>
    <row r="583" spans="3:11" ht="16" x14ac:dyDescent="0.45">
      <c r="E583" t="s">
        <v>969</v>
      </c>
      <c r="F583">
        <v>1</v>
      </c>
      <c r="G583">
        <v>50</v>
      </c>
      <c r="H583" s="23">
        <f t="shared" si="27"/>
        <v>50</v>
      </c>
      <c r="I583">
        <v>39</v>
      </c>
      <c r="J583" s="23">
        <f t="shared" si="28"/>
        <v>39</v>
      </c>
      <c r="K583">
        <f t="shared" si="29"/>
        <v>11</v>
      </c>
    </row>
    <row r="584" spans="3:11" ht="16" x14ac:dyDescent="0.45">
      <c r="E584" t="s">
        <v>991</v>
      </c>
      <c r="F584">
        <v>1</v>
      </c>
      <c r="G584">
        <v>20</v>
      </c>
      <c r="H584" s="23">
        <f t="shared" si="27"/>
        <v>20</v>
      </c>
      <c r="I584">
        <v>16</v>
      </c>
      <c r="J584" s="23">
        <f t="shared" si="28"/>
        <v>16</v>
      </c>
      <c r="K584">
        <f t="shared" si="29"/>
        <v>4</v>
      </c>
    </row>
    <row r="585" spans="3:11" ht="16" x14ac:dyDescent="0.45">
      <c r="E585" t="s">
        <v>933</v>
      </c>
      <c r="F585">
        <v>2</v>
      </c>
      <c r="G585">
        <v>5</v>
      </c>
      <c r="H585" s="23">
        <f t="shared" si="27"/>
        <v>10</v>
      </c>
      <c r="I585">
        <v>0.9</v>
      </c>
      <c r="J585" s="23">
        <f t="shared" si="28"/>
        <v>1.8</v>
      </c>
      <c r="K585">
        <f t="shared" si="29"/>
        <v>8.1999999999999993</v>
      </c>
    </row>
    <row r="586" spans="3:11" ht="16" x14ac:dyDescent="0.45">
      <c r="E586" t="s">
        <v>1057</v>
      </c>
      <c r="F586">
        <v>10</v>
      </c>
      <c r="G586">
        <v>2</v>
      </c>
      <c r="H586" s="23">
        <f t="shared" si="27"/>
        <v>20</v>
      </c>
      <c r="I586">
        <v>0.35</v>
      </c>
      <c r="J586" s="23">
        <f t="shared" si="28"/>
        <v>3.5</v>
      </c>
      <c r="K586">
        <f t="shared" si="29"/>
        <v>16.5</v>
      </c>
    </row>
    <row r="587" spans="3:11" ht="16" x14ac:dyDescent="0.45">
      <c r="E587" t="s">
        <v>950</v>
      </c>
      <c r="F587">
        <v>1</v>
      </c>
      <c r="G587">
        <v>10</v>
      </c>
      <c r="H587" s="23">
        <f t="shared" si="27"/>
        <v>10</v>
      </c>
      <c r="I587">
        <v>7</v>
      </c>
      <c r="J587" s="23">
        <f t="shared" si="28"/>
        <v>7</v>
      </c>
      <c r="K587">
        <f t="shared" si="29"/>
        <v>3</v>
      </c>
    </row>
    <row r="588" spans="3:11" ht="16" x14ac:dyDescent="0.45">
      <c r="E588" t="s">
        <v>938</v>
      </c>
      <c r="F588">
        <v>1</v>
      </c>
      <c r="G588">
        <v>20</v>
      </c>
      <c r="H588" s="23">
        <f t="shared" si="27"/>
        <v>20</v>
      </c>
      <c r="I588">
        <v>10</v>
      </c>
      <c r="J588" s="23">
        <f t="shared" si="28"/>
        <v>10</v>
      </c>
      <c r="K588">
        <f t="shared" si="29"/>
        <v>10</v>
      </c>
    </row>
    <row r="589" spans="3:11" ht="16" x14ac:dyDescent="0.45">
      <c r="C589" t="s">
        <v>1176</v>
      </c>
      <c r="E589" t="s">
        <v>952</v>
      </c>
      <c r="F589">
        <v>4</v>
      </c>
      <c r="G589">
        <v>5</v>
      </c>
      <c r="H589" s="23">
        <f t="shared" si="27"/>
        <v>20</v>
      </c>
      <c r="I589">
        <v>0.9</v>
      </c>
      <c r="J589" s="23">
        <f t="shared" si="28"/>
        <v>3.6</v>
      </c>
      <c r="K589">
        <f t="shared" si="29"/>
        <v>16.399999999999999</v>
      </c>
    </row>
    <row r="590" spans="3:11" ht="16" x14ac:dyDescent="0.45">
      <c r="E590" t="s">
        <v>957</v>
      </c>
      <c r="F590">
        <v>10</v>
      </c>
      <c r="G590">
        <v>2</v>
      </c>
      <c r="H590" s="23">
        <f t="shared" si="27"/>
        <v>20</v>
      </c>
      <c r="I590">
        <v>0.65</v>
      </c>
      <c r="J590" s="23">
        <f t="shared" si="28"/>
        <v>6.5</v>
      </c>
      <c r="K590">
        <f t="shared" si="29"/>
        <v>13.5</v>
      </c>
    </row>
    <row r="591" spans="3:11" ht="16" x14ac:dyDescent="0.45">
      <c r="E591" t="s">
        <v>950</v>
      </c>
      <c r="F591">
        <v>1</v>
      </c>
      <c r="G591">
        <v>10</v>
      </c>
      <c r="H591" s="23">
        <f t="shared" si="27"/>
        <v>10</v>
      </c>
      <c r="I591">
        <v>7</v>
      </c>
      <c r="J591" s="23">
        <f t="shared" si="28"/>
        <v>7</v>
      </c>
      <c r="K591">
        <f t="shared" si="29"/>
        <v>3</v>
      </c>
    </row>
    <row r="592" spans="3:11" ht="16" x14ac:dyDescent="0.45">
      <c r="E592" t="s">
        <v>940</v>
      </c>
      <c r="F592">
        <v>4</v>
      </c>
      <c r="G592">
        <v>2.5</v>
      </c>
      <c r="H592" s="23">
        <f t="shared" si="27"/>
        <v>10</v>
      </c>
      <c r="I592">
        <v>1.2</v>
      </c>
      <c r="J592" s="23">
        <f t="shared" si="28"/>
        <v>4.8</v>
      </c>
      <c r="K592">
        <f t="shared" si="29"/>
        <v>5.2</v>
      </c>
    </row>
    <row r="593" spans="3:11" ht="16" x14ac:dyDescent="0.45">
      <c r="E593" t="s">
        <v>933</v>
      </c>
      <c r="F593">
        <v>8</v>
      </c>
      <c r="G593">
        <v>5</v>
      </c>
      <c r="H593" s="23">
        <f t="shared" si="27"/>
        <v>40</v>
      </c>
      <c r="I593">
        <v>0.9</v>
      </c>
      <c r="J593" s="23">
        <f t="shared" si="28"/>
        <v>7.2</v>
      </c>
      <c r="K593">
        <f t="shared" si="29"/>
        <v>32.799999999999997</v>
      </c>
    </row>
    <row r="594" spans="3:11" ht="16" x14ac:dyDescent="0.45">
      <c r="E594" t="s">
        <v>944</v>
      </c>
      <c r="F594">
        <v>5</v>
      </c>
      <c r="G594">
        <v>2</v>
      </c>
      <c r="H594" s="23">
        <f t="shared" si="27"/>
        <v>10</v>
      </c>
      <c r="I594">
        <v>0.9</v>
      </c>
      <c r="J594" s="23">
        <f t="shared" si="28"/>
        <v>4.5</v>
      </c>
      <c r="K594">
        <f t="shared" si="29"/>
        <v>5.5</v>
      </c>
    </row>
    <row r="595" spans="3:11" ht="16" x14ac:dyDescent="0.45">
      <c r="E595" t="s">
        <v>987</v>
      </c>
      <c r="F595">
        <v>1</v>
      </c>
      <c r="G595">
        <v>100</v>
      </c>
      <c r="H595" s="23">
        <f t="shared" si="27"/>
        <v>100</v>
      </c>
      <c r="I595">
        <v>15</v>
      </c>
      <c r="J595" s="23">
        <f t="shared" si="28"/>
        <v>15</v>
      </c>
      <c r="K595">
        <f t="shared" si="29"/>
        <v>85</v>
      </c>
    </row>
    <row r="596" spans="3:11" ht="16" x14ac:dyDescent="0.45">
      <c r="E596" t="s">
        <v>1177</v>
      </c>
      <c r="F596">
        <v>1</v>
      </c>
      <c r="G596">
        <v>150</v>
      </c>
      <c r="H596" s="23">
        <f t="shared" si="27"/>
        <v>150</v>
      </c>
      <c r="I596">
        <v>65</v>
      </c>
      <c r="J596" s="23">
        <f t="shared" si="28"/>
        <v>65</v>
      </c>
      <c r="K596">
        <f t="shared" si="29"/>
        <v>85</v>
      </c>
    </row>
    <row r="597" spans="3:11" ht="16" x14ac:dyDescent="0.45">
      <c r="E597" t="s">
        <v>1134</v>
      </c>
      <c r="F597">
        <v>15</v>
      </c>
      <c r="G597">
        <v>2</v>
      </c>
      <c r="H597" s="23">
        <f t="shared" si="27"/>
        <v>30</v>
      </c>
      <c r="I597">
        <v>1.3</v>
      </c>
      <c r="J597" s="23">
        <f t="shared" si="28"/>
        <v>19.5</v>
      </c>
      <c r="K597">
        <f t="shared" si="29"/>
        <v>10.5</v>
      </c>
    </row>
    <row r="598" spans="3:11" ht="16" x14ac:dyDescent="0.45">
      <c r="E598" t="s">
        <v>1075</v>
      </c>
      <c r="F598">
        <v>1</v>
      </c>
      <c r="G598">
        <v>50</v>
      </c>
      <c r="H598" s="23">
        <f t="shared" si="27"/>
        <v>50</v>
      </c>
      <c r="I598">
        <v>24</v>
      </c>
      <c r="J598" s="23">
        <f t="shared" si="28"/>
        <v>24</v>
      </c>
      <c r="K598">
        <f t="shared" si="29"/>
        <v>26</v>
      </c>
    </row>
    <row r="599" spans="3:11" ht="16" x14ac:dyDescent="0.45">
      <c r="E599" t="s">
        <v>996</v>
      </c>
      <c r="F599">
        <v>1</v>
      </c>
      <c r="G599">
        <v>150</v>
      </c>
      <c r="H599" s="23">
        <f t="shared" si="27"/>
        <v>150</v>
      </c>
      <c r="I599">
        <v>70</v>
      </c>
      <c r="J599" s="23">
        <f t="shared" si="28"/>
        <v>70</v>
      </c>
      <c r="K599">
        <f t="shared" si="29"/>
        <v>80</v>
      </c>
    </row>
    <row r="600" spans="3:11" ht="16" x14ac:dyDescent="0.45">
      <c r="E600" t="s">
        <v>955</v>
      </c>
      <c r="F600">
        <v>3</v>
      </c>
      <c r="G600">
        <v>20</v>
      </c>
      <c r="H600" s="23">
        <f t="shared" si="27"/>
        <v>60</v>
      </c>
      <c r="I600">
        <v>16</v>
      </c>
      <c r="J600" s="23">
        <f t="shared" si="28"/>
        <v>48</v>
      </c>
      <c r="K600">
        <f t="shared" si="29"/>
        <v>12</v>
      </c>
    </row>
    <row r="601" spans="3:11" ht="16" x14ac:dyDescent="0.45">
      <c r="C601" t="s">
        <v>1178</v>
      </c>
      <c r="E601" t="s">
        <v>940</v>
      </c>
      <c r="F601">
        <v>2</v>
      </c>
      <c r="G601">
        <v>2.5</v>
      </c>
      <c r="H601" s="23">
        <f t="shared" si="27"/>
        <v>5</v>
      </c>
      <c r="I601">
        <v>1.2</v>
      </c>
      <c r="J601" s="23">
        <f t="shared" si="28"/>
        <v>2.4</v>
      </c>
      <c r="K601">
        <f t="shared" si="29"/>
        <v>2.6</v>
      </c>
    </row>
    <row r="602" spans="3:11" ht="16" x14ac:dyDescent="0.45">
      <c r="E602" t="s">
        <v>1179</v>
      </c>
      <c r="F602">
        <v>3</v>
      </c>
      <c r="G602">
        <v>20</v>
      </c>
      <c r="H602" s="23">
        <f t="shared" si="27"/>
        <v>60</v>
      </c>
      <c r="I602">
        <v>15</v>
      </c>
      <c r="J602" s="23">
        <f t="shared" si="28"/>
        <v>45</v>
      </c>
      <c r="K602">
        <f t="shared" si="29"/>
        <v>15</v>
      </c>
    </row>
    <row r="603" spans="3:11" ht="16" x14ac:dyDescent="0.45">
      <c r="E603" t="s">
        <v>1075</v>
      </c>
      <c r="F603">
        <v>1</v>
      </c>
      <c r="G603">
        <v>50</v>
      </c>
      <c r="H603" s="23">
        <f t="shared" si="27"/>
        <v>50</v>
      </c>
      <c r="I603">
        <v>25</v>
      </c>
      <c r="J603" s="23">
        <f t="shared" si="28"/>
        <v>25</v>
      </c>
      <c r="K603">
        <f t="shared" si="29"/>
        <v>25</v>
      </c>
    </row>
    <row r="604" spans="3:11" ht="16" x14ac:dyDescent="0.45">
      <c r="E604" t="s">
        <v>938</v>
      </c>
      <c r="F604">
        <v>3</v>
      </c>
      <c r="G604">
        <v>20</v>
      </c>
      <c r="H604" s="23">
        <f t="shared" si="27"/>
        <v>60</v>
      </c>
      <c r="I604">
        <v>10</v>
      </c>
      <c r="J604" s="23">
        <f t="shared" si="28"/>
        <v>30</v>
      </c>
      <c r="K604">
        <f t="shared" si="29"/>
        <v>30</v>
      </c>
    </row>
    <row r="605" spans="3:11" ht="16" x14ac:dyDescent="0.45">
      <c r="E605" t="s">
        <v>957</v>
      </c>
      <c r="F605">
        <v>10</v>
      </c>
      <c r="G605">
        <v>2</v>
      </c>
      <c r="H605" s="23">
        <f t="shared" si="27"/>
        <v>20</v>
      </c>
      <c r="I605">
        <v>0.65</v>
      </c>
      <c r="J605" s="23">
        <f t="shared" si="28"/>
        <v>6.5</v>
      </c>
      <c r="K605">
        <f t="shared" si="29"/>
        <v>13.5</v>
      </c>
    </row>
    <row r="606" spans="3:11" ht="16" x14ac:dyDescent="0.45">
      <c r="E606" t="s">
        <v>947</v>
      </c>
      <c r="F606">
        <v>6</v>
      </c>
      <c r="G606">
        <v>5</v>
      </c>
      <c r="H606" s="23">
        <f t="shared" si="27"/>
        <v>30</v>
      </c>
      <c r="I606">
        <v>0.85</v>
      </c>
      <c r="J606" s="23">
        <f t="shared" si="28"/>
        <v>5.0999999999999996</v>
      </c>
      <c r="K606">
        <f t="shared" si="29"/>
        <v>24.9</v>
      </c>
    </row>
    <row r="607" spans="3:11" ht="16" x14ac:dyDescent="0.45">
      <c r="E607" t="s">
        <v>954</v>
      </c>
      <c r="F607">
        <v>4</v>
      </c>
      <c r="G607">
        <v>20</v>
      </c>
      <c r="H607" s="23">
        <f t="shared" si="27"/>
        <v>80</v>
      </c>
      <c r="I607">
        <v>14</v>
      </c>
      <c r="J607" s="23">
        <f t="shared" si="28"/>
        <v>56</v>
      </c>
      <c r="K607">
        <f t="shared" si="29"/>
        <v>24</v>
      </c>
    </row>
    <row r="608" spans="3:11" ht="16" x14ac:dyDescent="0.45">
      <c r="E608" t="s">
        <v>956</v>
      </c>
      <c r="F608">
        <v>1</v>
      </c>
      <c r="G608">
        <v>10</v>
      </c>
      <c r="H608" s="23">
        <f t="shared" si="27"/>
        <v>10</v>
      </c>
      <c r="I608">
        <v>7</v>
      </c>
      <c r="J608" s="23">
        <f t="shared" si="28"/>
        <v>7</v>
      </c>
      <c r="K608">
        <f t="shared" si="29"/>
        <v>3</v>
      </c>
    </row>
    <row r="609" spans="3:11" ht="16" x14ac:dyDescent="0.45">
      <c r="E609" t="s">
        <v>1180</v>
      </c>
      <c r="F609">
        <v>2</v>
      </c>
      <c r="G609">
        <v>20</v>
      </c>
      <c r="H609" s="23">
        <f t="shared" si="27"/>
        <v>40</v>
      </c>
      <c r="I609">
        <v>15</v>
      </c>
      <c r="J609" s="23">
        <f t="shared" si="28"/>
        <v>30</v>
      </c>
      <c r="K609">
        <f t="shared" si="29"/>
        <v>10</v>
      </c>
    </row>
    <row r="610" spans="3:11" ht="16" x14ac:dyDescent="0.45">
      <c r="E610" t="s">
        <v>1156</v>
      </c>
      <c r="F610">
        <v>2</v>
      </c>
      <c r="G610">
        <v>10</v>
      </c>
      <c r="H610" s="23">
        <f t="shared" si="27"/>
        <v>20</v>
      </c>
      <c r="I610">
        <v>3</v>
      </c>
      <c r="J610" s="23">
        <f t="shared" si="28"/>
        <v>6</v>
      </c>
      <c r="K610">
        <f t="shared" si="29"/>
        <v>14</v>
      </c>
    </row>
    <row r="611" spans="3:11" ht="16" x14ac:dyDescent="0.45">
      <c r="E611" t="s">
        <v>1057</v>
      </c>
      <c r="F611">
        <v>10</v>
      </c>
      <c r="G611">
        <v>2</v>
      </c>
      <c r="H611" s="23">
        <f t="shared" si="27"/>
        <v>20</v>
      </c>
      <c r="I611">
        <v>0.35</v>
      </c>
      <c r="J611" s="23">
        <f t="shared" si="28"/>
        <v>3.5</v>
      </c>
      <c r="K611">
        <f t="shared" si="29"/>
        <v>16.5</v>
      </c>
    </row>
    <row r="612" spans="3:11" ht="16" x14ac:dyDescent="0.45">
      <c r="E612" t="s">
        <v>943</v>
      </c>
      <c r="F612">
        <v>1</v>
      </c>
      <c r="G612">
        <v>120</v>
      </c>
      <c r="H612" s="23">
        <f t="shared" si="27"/>
        <v>120</v>
      </c>
      <c r="I612">
        <v>50</v>
      </c>
      <c r="J612" s="23">
        <f t="shared" si="28"/>
        <v>50</v>
      </c>
      <c r="K612">
        <f t="shared" si="29"/>
        <v>70</v>
      </c>
    </row>
    <row r="613" spans="3:11" ht="16" x14ac:dyDescent="0.45">
      <c r="C613" t="s">
        <v>1181</v>
      </c>
      <c r="E613" t="s">
        <v>1172</v>
      </c>
      <c r="F613">
        <v>6</v>
      </c>
      <c r="G613">
        <v>10</v>
      </c>
      <c r="H613" s="23">
        <f t="shared" si="27"/>
        <v>60</v>
      </c>
      <c r="I613">
        <v>2.5</v>
      </c>
      <c r="J613" s="23">
        <f t="shared" si="28"/>
        <v>15</v>
      </c>
      <c r="K613">
        <f t="shared" si="29"/>
        <v>45</v>
      </c>
    </row>
    <row r="614" spans="3:11" ht="16" x14ac:dyDescent="0.45">
      <c r="E614" t="s">
        <v>977</v>
      </c>
      <c r="F614">
        <v>1</v>
      </c>
      <c r="G614">
        <v>200</v>
      </c>
      <c r="H614" s="23">
        <f t="shared" si="27"/>
        <v>200</v>
      </c>
      <c r="I614">
        <v>160</v>
      </c>
      <c r="J614" s="23">
        <f t="shared" si="28"/>
        <v>160</v>
      </c>
      <c r="K614">
        <f t="shared" si="29"/>
        <v>40</v>
      </c>
    </row>
    <row r="615" spans="3:11" ht="16" x14ac:dyDescent="0.45">
      <c r="E615" t="s">
        <v>950</v>
      </c>
      <c r="F615">
        <v>2</v>
      </c>
      <c r="G615">
        <v>10</v>
      </c>
      <c r="H615" s="23">
        <f t="shared" si="27"/>
        <v>20</v>
      </c>
      <c r="I615">
        <v>7</v>
      </c>
      <c r="J615" s="23">
        <f t="shared" si="28"/>
        <v>14</v>
      </c>
      <c r="K615">
        <f t="shared" si="29"/>
        <v>6</v>
      </c>
    </row>
    <row r="616" spans="3:11" ht="16" x14ac:dyDescent="0.45">
      <c r="E616" t="s">
        <v>1132</v>
      </c>
      <c r="F616">
        <v>6</v>
      </c>
      <c r="G616">
        <v>5</v>
      </c>
      <c r="H616" s="23">
        <f t="shared" si="27"/>
        <v>30</v>
      </c>
      <c r="I616">
        <v>0.65</v>
      </c>
      <c r="J616" s="23">
        <f t="shared" si="28"/>
        <v>3.9000000000000004</v>
      </c>
      <c r="K616">
        <f t="shared" si="29"/>
        <v>26.1</v>
      </c>
    </row>
    <row r="617" spans="3:11" ht="16" x14ac:dyDescent="0.45">
      <c r="E617" t="s">
        <v>951</v>
      </c>
      <c r="F617">
        <v>2</v>
      </c>
      <c r="G617">
        <v>15</v>
      </c>
      <c r="H617" s="23">
        <f t="shared" si="27"/>
        <v>30</v>
      </c>
      <c r="I617">
        <v>8</v>
      </c>
      <c r="J617" s="23">
        <f t="shared" si="28"/>
        <v>16</v>
      </c>
      <c r="K617">
        <f t="shared" si="29"/>
        <v>14</v>
      </c>
    </row>
    <row r="618" spans="3:11" ht="16" x14ac:dyDescent="0.45">
      <c r="E618" t="s">
        <v>1011</v>
      </c>
      <c r="F618">
        <v>1</v>
      </c>
      <c r="G618">
        <v>210</v>
      </c>
      <c r="H618" s="23">
        <f t="shared" si="27"/>
        <v>210</v>
      </c>
      <c r="I618">
        <v>136</v>
      </c>
      <c r="J618" s="23">
        <f t="shared" si="28"/>
        <v>136</v>
      </c>
      <c r="K618">
        <f t="shared" si="29"/>
        <v>74</v>
      </c>
    </row>
    <row r="619" spans="3:11" ht="16" x14ac:dyDescent="0.45">
      <c r="E619" t="s">
        <v>987</v>
      </c>
      <c r="F619">
        <v>2</v>
      </c>
      <c r="G619">
        <v>100</v>
      </c>
      <c r="H619" s="23">
        <f t="shared" si="27"/>
        <v>200</v>
      </c>
      <c r="I619">
        <v>22</v>
      </c>
      <c r="J619" s="23">
        <f t="shared" si="28"/>
        <v>44</v>
      </c>
      <c r="K619">
        <f t="shared" si="29"/>
        <v>156</v>
      </c>
    </row>
    <row r="620" spans="3:11" ht="16" x14ac:dyDescent="0.45">
      <c r="E620" t="s">
        <v>1167</v>
      </c>
      <c r="F620">
        <v>4</v>
      </c>
      <c r="G620">
        <v>10</v>
      </c>
      <c r="H620" s="23">
        <f t="shared" si="27"/>
        <v>40</v>
      </c>
      <c r="I620">
        <v>3.3</v>
      </c>
      <c r="J620" s="23">
        <f t="shared" si="28"/>
        <v>13.2</v>
      </c>
      <c r="K620">
        <f t="shared" si="29"/>
        <v>26.8</v>
      </c>
    </row>
    <row r="621" spans="3:11" ht="16" x14ac:dyDescent="0.45">
      <c r="E621" t="s">
        <v>949</v>
      </c>
      <c r="F621">
        <v>1</v>
      </c>
      <c r="G621">
        <v>20</v>
      </c>
      <c r="H621" s="23">
        <f t="shared" si="27"/>
        <v>20</v>
      </c>
      <c r="I621">
        <v>10.5</v>
      </c>
      <c r="J621" s="23">
        <f t="shared" si="28"/>
        <v>10.5</v>
      </c>
      <c r="K621">
        <f t="shared" si="29"/>
        <v>9.5</v>
      </c>
    </row>
    <row r="622" spans="3:11" ht="16" x14ac:dyDescent="0.45">
      <c r="E622" t="s">
        <v>991</v>
      </c>
      <c r="F622">
        <v>1</v>
      </c>
      <c r="G622">
        <v>20</v>
      </c>
      <c r="H622" s="23">
        <f t="shared" si="27"/>
        <v>20</v>
      </c>
      <c r="I622">
        <v>7</v>
      </c>
      <c r="J622" s="23">
        <f t="shared" si="28"/>
        <v>7</v>
      </c>
      <c r="K622">
        <f t="shared" si="29"/>
        <v>13</v>
      </c>
    </row>
    <row r="623" spans="3:11" ht="16" x14ac:dyDescent="0.45">
      <c r="E623" t="s">
        <v>1081</v>
      </c>
      <c r="F623">
        <v>10</v>
      </c>
      <c r="G623">
        <v>3</v>
      </c>
      <c r="H623" s="23">
        <f t="shared" si="27"/>
        <v>30</v>
      </c>
      <c r="I623">
        <v>0.45</v>
      </c>
      <c r="J623" s="23">
        <f t="shared" si="28"/>
        <v>4.5</v>
      </c>
      <c r="K623">
        <f t="shared" si="29"/>
        <v>25.5</v>
      </c>
    </row>
    <row r="624" spans="3:11" ht="16" x14ac:dyDescent="0.45">
      <c r="E624" t="s">
        <v>957</v>
      </c>
      <c r="F624">
        <v>10</v>
      </c>
      <c r="G624">
        <v>3</v>
      </c>
      <c r="H624" s="23">
        <f t="shared" si="27"/>
        <v>30</v>
      </c>
      <c r="I624">
        <v>0.35</v>
      </c>
      <c r="J624" s="23">
        <f t="shared" si="28"/>
        <v>3.5</v>
      </c>
      <c r="K624">
        <f t="shared" si="29"/>
        <v>26.5</v>
      </c>
    </row>
    <row r="625" spans="3:11" ht="16" x14ac:dyDescent="0.45">
      <c r="E625" t="s">
        <v>939</v>
      </c>
      <c r="F625">
        <v>1</v>
      </c>
      <c r="G625">
        <v>50</v>
      </c>
      <c r="H625" s="23">
        <f t="shared" si="27"/>
        <v>50</v>
      </c>
      <c r="I625">
        <v>25</v>
      </c>
      <c r="J625" s="23">
        <f t="shared" si="28"/>
        <v>25</v>
      </c>
      <c r="K625">
        <f t="shared" si="29"/>
        <v>25</v>
      </c>
    </row>
    <row r="626" spans="3:11" ht="16" x14ac:dyDescent="0.45">
      <c r="C626" t="s">
        <v>1187</v>
      </c>
      <c r="E626" t="s">
        <v>938</v>
      </c>
      <c r="F626">
        <v>1</v>
      </c>
      <c r="G626">
        <v>20</v>
      </c>
      <c r="H626" s="23">
        <f t="shared" si="27"/>
        <v>20</v>
      </c>
      <c r="I626">
        <v>10</v>
      </c>
      <c r="J626" s="23">
        <f t="shared" si="28"/>
        <v>10</v>
      </c>
      <c r="K626">
        <f t="shared" si="29"/>
        <v>10</v>
      </c>
    </row>
    <row r="627" spans="3:11" ht="16" x14ac:dyDescent="0.45">
      <c r="E627" t="s">
        <v>1075</v>
      </c>
      <c r="F627">
        <v>1</v>
      </c>
      <c r="G627">
        <v>50</v>
      </c>
      <c r="H627" s="23">
        <f t="shared" si="27"/>
        <v>50</v>
      </c>
      <c r="I627">
        <v>15</v>
      </c>
      <c r="J627" s="23">
        <f t="shared" si="28"/>
        <v>15</v>
      </c>
      <c r="K627">
        <f t="shared" si="29"/>
        <v>35</v>
      </c>
    </row>
    <row r="628" spans="3:11" ht="16" x14ac:dyDescent="0.45">
      <c r="E628" t="s">
        <v>963</v>
      </c>
      <c r="F628">
        <v>3</v>
      </c>
      <c r="G628">
        <v>20</v>
      </c>
      <c r="H628" s="23">
        <f t="shared" si="27"/>
        <v>60</v>
      </c>
      <c r="I628">
        <v>13</v>
      </c>
      <c r="J628" s="23">
        <f t="shared" si="28"/>
        <v>39</v>
      </c>
      <c r="K628">
        <f t="shared" si="29"/>
        <v>21</v>
      </c>
    </row>
    <row r="629" spans="3:11" ht="16" x14ac:dyDescent="0.45">
      <c r="E629" t="s">
        <v>1134</v>
      </c>
      <c r="F629">
        <v>10</v>
      </c>
      <c r="G629">
        <v>3</v>
      </c>
      <c r="H629" s="23">
        <f t="shared" si="27"/>
        <v>30</v>
      </c>
      <c r="I629">
        <v>1.3</v>
      </c>
      <c r="J629" s="23">
        <f t="shared" si="28"/>
        <v>13</v>
      </c>
      <c r="K629">
        <f t="shared" si="29"/>
        <v>17</v>
      </c>
    </row>
    <row r="630" spans="3:11" ht="16" x14ac:dyDescent="0.45">
      <c r="E630" t="s">
        <v>1188</v>
      </c>
      <c r="F630">
        <v>1</v>
      </c>
      <c r="G630">
        <v>150</v>
      </c>
      <c r="H630" s="23">
        <f t="shared" si="27"/>
        <v>150</v>
      </c>
      <c r="I630">
        <v>85</v>
      </c>
      <c r="J630" s="23">
        <f t="shared" si="28"/>
        <v>85</v>
      </c>
      <c r="K630">
        <f t="shared" si="29"/>
        <v>65</v>
      </c>
    </row>
    <row r="631" spans="3:11" ht="16" x14ac:dyDescent="0.45">
      <c r="E631" t="s">
        <v>1189</v>
      </c>
      <c r="F631">
        <v>1</v>
      </c>
      <c r="G631">
        <v>150</v>
      </c>
      <c r="H631" s="23">
        <f t="shared" si="27"/>
        <v>150</v>
      </c>
      <c r="I631">
        <v>46</v>
      </c>
      <c r="J631" s="23">
        <f t="shared" si="28"/>
        <v>46</v>
      </c>
      <c r="K631">
        <f t="shared" si="29"/>
        <v>104</v>
      </c>
    </row>
    <row r="632" spans="3:11" ht="16" x14ac:dyDescent="0.45">
      <c r="E632" t="s">
        <v>943</v>
      </c>
      <c r="F632">
        <v>15</v>
      </c>
      <c r="G632">
        <v>6.5</v>
      </c>
      <c r="H632" s="23">
        <f t="shared" si="27"/>
        <v>97.5</v>
      </c>
      <c r="I632">
        <v>3</v>
      </c>
      <c r="J632" s="23">
        <f t="shared" si="28"/>
        <v>45</v>
      </c>
      <c r="K632">
        <f t="shared" si="29"/>
        <v>52.5</v>
      </c>
    </row>
    <row r="633" spans="3:11" ht="16" x14ac:dyDescent="0.45">
      <c r="E633" t="s">
        <v>993</v>
      </c>
      <c r="F633">
        <v>1</v>
      </c>
      <c r="G633">
        <v>50</v>
      </c>
      <c r="H633" s="23">
        <f t="shared" si="27"/>
        <v>50</v>
      </c>
      <c r="I633">
        <v>25</v>
      </c>
      <c r="J633" s="23">
        <f t="shared" si="28"/>
        <v>25</v>
      </c>
      <c r="K633">
        <f t="shared" si="29"/>
        <v>25</v>
      </c>
    </row>
    <row r="634" spans="3:11" ht="16" x14ac:dyDescent="0.45">
      <c r="E634" t="s">
        <v>1190</v>
      </c>
      <c r="F634">
        <v>2</v>
      </c>
      <c r="G634">
        <v>30</v>
      </c>
      <c r="H634" s="23">
        <f t="shared" si="27"/>
        <v>60</v>
      </c>
      <c r="I634">
        <v>18</v>
      </c>
      <c r="J634" s="23">
        <f t="shared" si="28"/>
        <v>36</v>
      </c>
      <c r="K634">
        <f t="shared" si="29"/>
        <v>24</v>
      </c>
    </row>
    <row r="635" spans="3:11" ht="16" x14ac:dyDescent="0.45">
      <c r="E635" t="s">
        <v>1191</v>
      </c>
      <c r="F635">
        <v>1</v>
      </c>
      <c r="G635">
        <v>150</v>
      </c>
      <c r="H635" s="23">
        <f t="shared" si="27"/>
        <v>150</v>
      </c>
      <c r="I635">
        <v>55</v>
      </c>
      <c r="J635" s="23">
        <f t="shared" si="28"/>
        <v>55</v>
      </c>
      <c r="K635">
        <f t="shared" si="29"/>
        <v>95</v>
      </c>
    </row>
    <row r="636" spans="3:11" ht="16" x14ac:dyDescent="0.45">
      <c r="E636" t="s">
        <v>934</v>
      </c>
      <c r="F636">
        <v>1</v>
      </c>
      <c r="G636">
        <v>100</v>
      </c>
      <c r="H636" s="23">
        <f t="shared" si="27"/>
        <v>100</v>
      </c>
      <c r="I636">
        <v>50</v>
      </c>
      <c r="J636" s="23">
        <f t="shared" si="28"/>
        <v>50</v>
      </c>
      <c r="K636">
        <f t="shared" si="29"/>
        <v>50</v>
      </c>
    </row>
    <row r="637" spans="3:11" ht="16" x14ac:dyDescent="0.45">
      <c r="E637" t="s">
        <v>1192</v>
      </c>
      <c r="F637">
        <v>1</v>
      </c>
      <c r="G637">
        <v>100</v>
      </c>
      <c r="H637" s="23">
        <f t="shared" si="27"/>
        <v>100</v>
      </c>
      <c r="I637">
        <v>28</v>
      </c>
      <c r="J637" s="23">
        <f t="shared" si="28"/>
        <v>28</v>
      </c>
      <c r="K637">
        <f t="shared" si="29"/>
        <v>72</v>
      </c>
    </row>
    <row r="638" spans="3:11" ht="16" x14ac:dyDescent="0.45">
      <c r="E638" t="s">
        <v>952</v>
      </c>
      <c r="F638">
        <v>6</v>
      </c>
      <c r="G638">
        <v>5</v>
      </c>
      <c r="H638" s="23">
        <f t="shared" si="27"/>
        <v>30</v>
      </c>
      <c r="I638">
        <v>1</v>
      </c>
      <c r="J638" s="23">
        <f t="shared" si="28"/>
        <v>6</v>
      </c>
      <c r="K638">
        <f t="shared" si="29"/>
        <v>24</v>
      </c>
    </row>
    <row r="639" spans="3:11" ht="16" x14ac:dyDescent="0.45">
      <c r="E639" t="s">
        <v>1134</v>
      </c>
      <c r="F639">
        <v>10</v>
      </c>
      <c r="G639">
        <v>3</v>
      </c>
      <c r="H639" s="23">
        <f t="shared" si="27"/>
        <v>30</v>
      </c>
      <c r="I639">
        <v>1.3</v>
      </c>
      <c r="J639" s="23">
        <f t="shared" si="28"/>
        <v>13</v>
      </c>
      <c r="K639">
        <f t="shared" si="29"/>
        <v>17</v>
      </c>
    </row>
    <row r="640" spans="3:11" ht="16" x14ac:dyDescent="0.45">
      <c r="E640" t="s">
        <v>1156</v>
      </c>
      <c r="F640">
        <v>10</v>
      </c>
      <c r="G640">
        <v>10</v>
      </c>
      <c r="H640" s="23">
        <f t="shared" si="27"/>
        <v>100</v>
      </c>
      <c r="I640">
        <v>2.1</v>
      </c>
      <c r="J640" s="23">
        <f t="shared" si="28"/>
        <v>21</v>
      </c>
      <c r="K640">
        <f t="shared" si="29"/>
        <v>79</v>
      </c>
    </row>
    <row r="641" spans="3:11" ht="16" x14ac:dyDescent="0.45">
      <c r="E641" t="s">
        <v>940</v>
      </c>
      <c r="F641">
        <v>4</v>
      </c>
      <c r="G641">
        <v>2.5</v>
      </c>
      <c r="H641" s="23">
        <f t="shared" si="27"/>
        <v>10</v>
      </c>
      <c r="I641">
        <v>1.2</v>
      </c>
      <c r="J641" s="23">
        <f t="shared" si="28"/>
        <v>4.8</v>
      </c>
      <c r="K641">
        <f t="shared" si="29"/>
        <v>5.2</v>
      </c>
    </row>
    <row r="642" spans="3:11" ht="16" x14ac:dyDescent="0.45">
      <c r="E642" t="s">
        <v>1057</v>
      </c>
      <c r="F642">
        <v>10</v>
      </c>
      <c r="G642">
        <v>2</v>
      </c>
      <c r="H642" s="23">
        <f t="shared" si="27"/>
        <v>20</v>
      </c>
      <c r="I642">
        <v>0.35</v>
      </c>
      <c r="J642" s="23">
        <f t="shared" si="28"/>
        <v>3.5</v>
      </c>
      <c r="K642">
        <f t="shared" si="29"/>
        <v>16.5</v>
      </c>
    </row>
    <row r="643" spans="3:11" ht="16" x14ac:dyDescent="0.45">
      <c r="C643" t="s">
        <v>1193</v>
      </c>
      <c r="E643" t="s">
        <v>933</v>
      </c>
      <c r="F643">
        <v>30</v>
      </c>
      <c r="G643">
        <v>5</v>
      </c>
      <c r="H643" s="23">
        <f t="shared" si="27"/>
        <v>150</v>
      </c>
      <c r="I643">
        <v>1</v>
      </c>
      <c r="J643" s="23">
        <f t="shared" si="28"/>
        <v>30</v>
      </c>
      <c r="K643">
        <f t="shared" si="29"/>
        <v>120</v>
      </c>
    </row>
    <row r="644" spans="3:11" ht="16" x14ac:dyDescent="0.45">
      <c r="E644" t="s">
        <v>1106</v>
      </c>
      <c r="F644">
        <v>1</v>
      </c>
      <c r="G644">
        <v>100</v>
      </c>
      <c r="H644" s="23">
        <f t="shared" si="27"/>
        <v>100</v>
      </c>
      <c r="I644">
        <v>35</v>
      </c>
      <c r="J644" s="23">
        <f t="shared" si="28"/>
        <v>35</v>
      </c>
      <c r="K644">
        <f t="shared" si="29"/>
        <v>65</v>
      </c>
    </row>
    <row r="645" spans="3:11" ht="16" x14ac:dyDescent="0.45">
      <c r="E645" t="s">
        <v>1133</v>
      </c>
      <c r="F645">
        <v>2</v>
      </c>
      <c r="G645">
        <v>10</v>
      </c>
      <c r="H645" s="23">
        <f t="shared" si="27"/>
        <v>20</v>
      </c>
      <c r="I645">
        <v>3.5</v>
      </c>
      <c r="J645" s="23">
        <f t="shared" si="28"/>
        <v>7</v>
      </c>
      <c r="K645">
        <f t="shared" si="29"/>
        <v>13</v>
      </c>
    </row>
    <row r="646" spans="3:11" ht="16" x14ac:dyDescent="0.45">
      <c r="E646" t="s">
        <v>1159</v>
      </c>
      <c r="F646">
        <v>1</v>
      </c>
      <c r="G646">
        <v>30</v>
      </c>
      <c r="H646" s="23">
        <f t="shared" ref="H646:H659" si="30">F646*G646</f>
        <v>30</v>
      </c>
      <c r="I646">
        <v>27</v>
      </c>
      <c r="J646" s="23">
        <f t="shared" ref="J646:J659" si="31">F646*I646</f>
        <v>27</v>
      </c>
      <c r="K646">
        <f t="shared" ref="K646:K659" si="32">H646-J646</f>
        <v>3</v>
      </c>
    </row>
    <row r="647" spans="3:11" ht="16" x14ac:dyDescent="0.45">
      <c r="E647" t="s">
        <v>1194</v>
      </c>
      <c r="F647">
        <v>2</v>
      </c>
      <c r="G647">
        <v>10</v>
      </c>
      <c r="H647" s="23">
        <f t="shared" si="30"/>
        <v>20</v>
      </c>
      <c r="I647">
        <v>3.3</v>
      </c>
      <c r="J647" s="23">
        <f t="shared" si="31"/>
        <v>6.6</v>
      </c>
      <c r="K647">
        <f t="shared" si="32"/>
        <v>13.4</v>
      </c>
    </row>
    <row r="648" spans="3:11" ht="16" x14ac:dyDescent="0.45">
      <c r="E648" t="s">
        <v>1104</v>
      </c>
      <c r="F648">
        <v>1</v>
      </c>
      <c r="G648">
        <v>100</v>
      </c>
      <c r="H648" s="23">
        <f t="shared" si="30"/>
        <v>100</v>
      </c>
      <c r="I648">
        <v>50</v>
      </c>
      <c r="J648" s="23">
        <f t="shared" si="31"/>
        <v>50</v>
      </c>
      <c r="K648">
        <f t="shared" si="32"/>
        <v>50</v>
      </c>
    </row>
    <row r="649" spans="3:11" ht="16" x14ac:dyDescent="0.45">
      <c r="E649" t="s">
        <v>1081</v>
      </c>
      <c r="F649">
        <v>10</v>
      </c>
      <c r="G649">
        <v>2</v>
      </c>
      <c r="H649" s="36">
        <f t="shared" si="30"/>
        <v>20</v>
      </c>
      <c r="I649">
        <v>0.35</v>
      </c>
      <c r="J649" s="36">
        <f t="shared" si="31"/>
        <v>3.5</v>
      </c>
      <c r="K649">
        <f t="shared" si="32"/>
        <v>16.5</v>
      </c>
    </row>
    <row r="650" spans="3:11" x14ac:dyDescent="0.35">
      <c r="C650" s="31"/>
      <c r="E650" s="31" t="s">
        <v>1134</v>
      </c>
      <c r="F650">
        <v>6</v>
      </c>
      <c r="G650">
        <v>3</v>
      </c>
      <c r="H650" s="31">
        <f t="shared" si="30"/>
        <v>18</v>
      </c>
      <c r="I650">
        <v>1.3</v>
      </c>
      <c r="J650" s="31">
        <f t="shared" si="31"/>
        <v>7.8000000000000007</v>
      </c>
      <c r="K650" s="31">
        <f t="shared" si="32"/>
        <v>10.199999999999999</v>
      </c>
    </row>
    <row r="651" spans="3:11" ht="16" x14ac:dyDescent="0.45">
      <c r="E651" t="s">
        <v>1166</v>
      </c>
      <c r="F651">
        <v>1</v>
      </c>
      <c r="G651">
        <v>10</v>
      </c>
      <c r="H651" s="37">
        <f t="shared" si="30"/>
        <v>10</v>
      </c>
      <c r="I651">
        <v>5</v>
      </c>
      <c r="J651" s="37">
        <f t="shared" si="31"/>
        <v>5</v>
      </c>
      <c r="K651" s="38">
        <f t="shared" si="32"/>
        <v>5</v>
      </c>
    </row>
    <row r="652" spans="3:11" ht="16" x14ac:dyDescent="0.45">
      <c r="C652" t="s">
        <v>1195</v>
      </c>
      <c r="E652" t="s">
        <v>952</v>
      </c>
      <c r="F652">
        <v>4</v>
      </c>
      <c r="G652">
        <v>5</v>
      </c>
      <c r="H652" s="37">
        <f t="shared" si="30"/>
        <v>20</v>
      </c>
      <c r="I652">
        <v>1</v>
      </c>
      <c r="J652" s="37">
        <f t="shared" si="31"/>
        <v>4</v>
      </c>
      <c r="K652" s="38">
        <f t="shared" si="32"/>
        <v>16</v>
      </c>
    </row>
    <row r="653" spans="3:11" ht="16" x14ac:dyDescent="0.45">
      <c r="E653" t="s">
        <v>988</v>
      </c>
      <c r="F653">
        <v>2</v>
      </c>
      <c r="G653">
        <v>130</v>
      </c>
      <c r="H653" s="37">
        <f t="shared" si="30"/>
        <v>260</v>
      </c>
      <c r="I653">
        <v>100</v>
      </c>
      <c r="J653" s="37">
        <f t="shared" si="31"/>
        <v>200</v>
      </c>
      <c r="K653" s="38">
        <f t="shared" si="32"/>
        <v>60</v>
      </c>
    </row>
    <row r="654" spans="3:11" ht="16" x14ac:dyDescent="0.45">
      <c r="E654" t="s">
        <v>977</v>
      </c>
      <c r="F654">
        <v>1</v>
      </c>
      <c r="G654">
        <v>200</v>
      </c>
      <c r="H654" s="37">
        <f t="shared" si="30"/>
        <v>200</v>
      </c>
      <c r="I654">
        <v>165</v>
      </c>
      <c r="J654" s="37">
        <f t="shared" si="31"/>
        <v>165</v>
      </c>
      <c r="K654" s="38">
        <f t="shared" si="32"/>
        <v>35</v>
      </c>
    </row>
    <row r="655" spans="3:11" ht="16" x14ac:dyDescent="0.45">
      <c r="E655" t="s">
        <v>950</v>
      </c>
      <c r="F655">
        <v>1</v>
      </c>
      <c r="G655">
        <v>10</v>
      </c>
      <c r="H655" s="37">
        <f t="shared" si="30"/>
        <v>10</v>
      </c>
      <c r="I655">
        <v>7</v>
      </c>
      <c r="J655" s="37">
        <f t="shared" si="31"/>
        <v>7</v>
      </c>
      <c r="K655" s="38">
        <f t="shared" si="32"/>
        <v>3</v>
      </c>
    </row>
    <row r="656" spans="3:11" ht="16" x14ac:dyDescent="0.45">
      <c r="E656" t="s">
        <v>1174</v>
      </c>
      <c r="F656">
        <v>1</v>
      </c>
      <c r="G656">
        <v>100</v>
      </c>
      <c r="H656" s="37">
        <f t="shared" si="30"/>
        <v>100</v>
      </c>
      <c r="I656">
        <v>85</v>
      </c>
      <c r="J656" s="37">
        <f t="shared" si="31"/>
        <v>85</v>
      </c>
      <c r="K656" s="38">
        <f t="shared" si="32"/>
        <v>15</v>
      </c>
    </row>
    <row r="657" spans="5:11" ht="16" x14ac:dyDescent="0.45">
      <c r="E657" t="s">
        <v>973</v>
      </c>
      <c r="F657">
        <v>3</v>
      </c>
      <c r="G657">
        <v>50</v>
      </c>
      <c r="H657" s="37">
        <f t="shared" si="30"/>
        <v>150</v>
      </c>
      <c r="I657">
        <v>10</v>
      </c>
      <c r="J657" s="37">
        <f t="shared" si="31"/>
        <v>30</v>
      </c>
      <c r="K657" s="38">
        <f t="shared" si="32"/>
        <v>120</v>
      </c>
    </row>
    <row r="658" spans="5:11" ht="16" x14ac:dyDescent="0.45">
      <c r="E658" t="s">
        <v>1196</v>
      </c>
      <c r="F658">
        <v>1</v>
      </c>
      <c r="G658">
        <v>80</v>
      </c>
      <c r="H658" s="37">
        <f t="shared" si="30"/>
        <v>80</v>
      </c>
      <c r="I658">
        <v>50</v>
      </c>
      <c r="J658" s="37">
        <f t="shared" si="31"/>
        <v>50</v>
      </c>
      <c r="K658" s="38">
        <f t="shared" si="32"/>
        <v>30</v>
      </c>
    </row>
    <row r="659" spans="5:11" ht="16" x14ac:dyDescent="0.45">
      <c r="E659" t="s">
        <v>954</v>
      </c>
      <c r="F659">
        <v>1</v>
      </c>
      <c r="G659">
        <v>20</v>
      </c>
      <c r="H659" s="37">
        <f t="shared" si="30"/>
        <v>20</v>
      </c>
      <c r="I659">
        <v>16</v>
      </c>
      <c r="J659" s="37">
        <f t="shared" si="31"/>
        <v>16</v>
      </c>
      <c r="K659" s="38">
        <f t="shared" si="32"/>
        <v>4</v>
      </c>
    </row>
  </sheetData>
  <autoFilter ref="B2:K200" xr:uid="{00000000-0001-0000-0300-000000000000}"/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17"/>
  <sheetViews>
    <sheetView topLeftCell="A4" workbookViewId="0">
      <selection activeCell="B19" sqref="B19"/>
    </sheetView>
  </sheetViews>
  <sheetFormatPr defaultRowHeight="14.5" x14ac:dyDescent="0.35"/>
  <cols>
    <col min="1" max="1" width="3" customWidth="1"/>
    <col min="2" max="2" width="40" customWidth="1"/>
    <col min="3" max="3" width="13" customWidth="1"/>
    <col min="4" max="4" width="25.08984375" customWidth="1"/>
    <col min="5" max="5" width="13" customWidth="1"/>
    <col min="6" max="6" width="27.36328125" customWidth="1"/>
    <col min="7" max="7" width="13" customWidth="1"/>
    <col min="8" max="8" width="15" customWidth="1"/>
    <col min="9" max="9" width="14" customWidth="1"/>
  </cols>
  <sheetData>
    <row r="2" spans="2:9" ht="25" customHeight="1" x14ac:dyDescent="0.65">
      <c r="B2" s="1" t="s">
        <v>609</v>
      </c>
    </row>
    <row r="4" spans="2:9" ht="26" customHeight="1" x14ac:dyDescent="0.35">
      <c r="B4" s="11" t="s">
        <v>1096</v>
      </c>
      <c r="C4" s="11" t="s">
        <v>610</v>
      </c>
      <c r="D4" s="11" t="s">
        <v>1148</v>
      </c>
      <c r="E4" s="11" t="s">
        <v>38</v>
      </c>
      <c r="F4" s="11" t="s">
        <v>1147</v>
      </c>
      <c r="G4" s="11" t="s">
        <v>611</v>
      </c>
      <c r="H4" s="11" t="s">
        <v>612</v>
      </c>
      <c r="I4" s="11" t="s">
        <v>613</v>
      </c>
    </row>
    <row r="5" spans="2:9" ht="16" x14ac:dyDescent="0.45">
      <c r="B5" s="25" t="s">
        <v>1091</v>
      </c>
      <c r="C5" s="8" t="s">
        <v>1078</v>
      </c>
      <c r="D5" s="30">
        <v>22397</v>
      </c>
      <c r="E5" s="8"/>
      <c r="F5" s="8"/>
      <c r="G5" s="8"/>
      <c r="H5" s="8"/>
      <c r="I5" s="8"/>
    </row>
    <row r="6" spans="2:9" ht="16" x14ac:dyDescent="0.45">
      <c r="B6" s="22" t="s">
        <v>1084</v>
      </c>
      <c r="C6" s="5" t="s">
        <v>1029</v>
      </c>
      <c r="D6" s="5"/>
      <c r="E6" s="5"/>
      <c r="F6" s="5">
        <v>8000</v>
      </c>
      <c r="G6" s="5"/>
      <c r="H6" s="5"/>
      <c r="I6" s="5"/>
    </row>
    <row r="7" spans="2:9" ht="16" x14ac:dyDescent="0.45">
      <c r="B7" s="25" t="s">
        <v>1086</v>
      </c>
      <c r="C7" s="8"/>
      <c r="D7" s="8"/>
      <c r="E7" s="8"/>
      <c r="F7" s="8">
        <v>600</v>
      </c>
      <c r="G7" s="8"/>
      <c r="H7" s="8"/>
      <c r="I7" s="8"/>
    </row>
    <row r="8" spans="2:9" x14ac:dyDescent="0.35">
      <c r="B8" t="s">
        <v>1085</v>
      </c>
    </row>
    <row r="9" spans="2:9" x14ac:dyDescent="0.35">
      <c r="B9" t="s">
        <v>1087</v>
      </c>
      <c r="F9">
        <v>6000</v>
      </c>
    </row>
    <row r="10" spans="2:9" x14ac:dyDescent="0.35">
      <c r="B10" t="s">
        <v>1088</v>
      </c>
      <c r="D10" s="26">
        <v>11150</v>
      </c>
      <c r="F10">
        <v>10109</v>
      </c>
    </row>
    <row r="11" spans="2:9" x14ac:dyDescent="0.35">
      <c r="B11" s="27" t="s">
        <v>1089</v>
      </c>
      <c r="C11" s="27" t="s">
        <v>1078</v>
      </c>
      <c r="D11" s="27">
        <v>11248</v>
      </c>
    </row>
    <row r="13" spans="2:9" x14ac:dyDescent="0.35">
      <c r="B13" t="s">
        <v>1142</v>
      </c>
    </row>
    <row r="14" spans="2:9" x14ac:dyDescent="0.35">
      <c r="B14" t="s">
        <v>1143</v>
      </c>
    </row>
    <row r="15" spans="2:9" x14ac:dyDescent="0.35">
      <c r="B15" t="s">
        <v>1144</v>
      </c>
    </row>
    <row r="16" spans="2:9" x14ac:dyDescent="0.35">
      <c r="B16" t="s">
        <v>1145</v>
      </c>
    </row>
    <row r="17" spans="2:2" x14ac:dyDescent="0.35">
      <c r="B17" t="s">
        <v>1146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H20"/>
  <sheetViews>
    <sheetView topLeftCell="A7" workbookViewId="0">
      <selection activeCell="B21" sqref="B21"/>
    </sheetView>
  </sheetViews>
  <sheetFormatPr defaultRowHeight="14.5" x14ac:dyDescent="0.35"/>
  <cols>
    <col min="1" max="1" width="3" customWidth="1"/>
    <col min="2" max="2" width="43" customWidth="1"/>
    <col min="3" max="3" width="14" customWidth="1"/>
    <col min="4" max="5" width="16" customWidth="1"/>
    <col min="6" max="6" width="13" customWidth="1"/>
    <col min="7" max="7" width="22" customWidth="1"/>
    <col min="8" max="8" width="25" customWidth="1"/>
  </cols>
  <sheetData>
    <row r="2" spans="2:8" ht="25" customHeight="1" x14ac:dyDescent="0.65">
      <c r="B2" s="1" t="s">
        <v>627</v>
      </c>
    </row>
    <row r="4" spans="2:8" ht="26" customHeight="1" x14ac:dyDescent="0.35">
      <c r="B4" s="11" t="s">
        <v>1185</v>
      </c>
      <c r="C4" s="11" t="s">
        <v>1184</v>
      </c>
      <c r="D4" s="11" t="s">
        <v>1097</v>
      </c>
      <c r="E4" s="11" t="s">
        <v>628</v>
      </c>
      <c r="F4" s="11" t="s">
        <v>629</v>
      </c>
      <c r="G4" s="11" t="s">
        <v>630</v>
      </c>
      <c r="H4" s="11" t="s">
        <v>631</v>
      </c>
    </row>
    <row r="5" spans="2:8" ht="16" x14ac:dyDescent="0.45">
      <c r="B5" s="8" t="s">
        <v>1092</v>
      </c>
      <c r="C5" s="8"/>
      <c r="D5" s="8">
        <v>2450</v>
      </c>
      <c r="E5" s="8"/>
      <c r="F5" s="8"/>
      <c r="G5" s="8"/>
      <c r="H5" s="8"/>
    </row>
    <row r="6" spans="2:8" ht="16" x14ac:dyDescent="0.45">
      <c r="B6" s="25" t="s">
        <v>1118</v>
      </c>
      <c r="C6" s="5" t="s">
        <v>1029</v>
      </c>
      <c r="D6" s="5">
        <v>2092</v>
      </c>
      <c r="E6" s="5"/>
      <c r="F6" s="5"/>
      <c r="G6" s="5"/>
      <c r="H6" s="5"/>
    </row>
    <row r="7" spans="2:8" ht="16" x14ac:dyDescent="0.45">
      <c r="B7" s="25" t="s">
        <v>1118</v>
      </c>
      <c r="C7" s="8" t="s">
        <v>1093</v>
      </c>
      <c r="D7" s="8">
        <v>1052</v>
      </c>
      <c r="E7" s="8"/>
      <c r="F7" s="8"/>
      <c r="G7" s="8"/>
      <c r="H7" s="8"/>
    </row>
    <row r="8" spans="2:8" ht="16" x14ac:dyDescent="0.45">
      <c r="B8" s="25" t="s">
        <v>1118</v>
      </c>
      <c r="C8" t="s">
        <v>1094</v>
      </c>
      <c r="D8">
        <v>630</v>
      </c>
    </row>
    <row r="9" spans="2:8" ht="16" x14ac:dyDescent="0.45">
      <c r="B9" s="25" t="s">
        <v>1118</v>
      </c>
      <c r="C9" t="s">
        <v>1120</v>
      </c>
      <c r="D9">
        <v>190</v>
      </c>
    </row>
    <row r="10" spans="2:8" ht="16" x14ac:dyDescent="0.45">
      <c r="B10" s="25" t="s">
        <v>1118</v>
      </c>
      <c r="C10" t="s">
        <v>1121</v>
      </c>
      <c r="D10">
        <v>600</v>
      </c>
    </row>
    <row r="11" spans="2:8" ht="16" x14ac:dyDescent="0.45">
      <c r="B11" s="25" t="s">
        <v>1118</v>
      </c>
      <c r="C11" t="s">
        <v>1122</v>
      </c>
      <c r="D11">
        <v>1930</v>
      </c>
    </row>
    <row r="12" spans="2:8" s="31" customFormat="1" ht="16" x14ac:dyDescent="0.45">
      <c r="B12" s="29" t="s">
        <v>1123</v>
      </c>
      <c r="D12" s="27">
        <f>SUM(D4:D11)</f>
        <v>8944</v>
      </c>
    </row>
    <row r="13" spans="2:8" ht="16" x14ac:dyDescent="0.45">
      <c r="B13" s="32" t="s">
        <v>1186</v>
      </c>
    </row>
    <row r="14" spans="2:8" ht="16" x14ac:dyDescent="0.45">
      <c r="B14" s="17" t="s">
        <v>1095</v>
      </c>
      <c r="C14" s="21">
        <v>46181</v>
      </c>
      <c r="D14">
        <v>6000</v>
      </c>
    </row>
    <row r="15" spans="2:8" ht="16" x14ac:dyDescent="0.45">
      <c r="B15" s="23" t="s">
        <v>1117</v>
      </c>
      <c r="C15" s="21">
        <v>46181</v>
      </c>
      <c r="D15">
        <v>1165</v>
      </c>
    </row>
    <row r="16" spans="2:8" ht="16" x14ac:dyDescent="0.45">
      <c r="B16" s="23" t="s">
        <v>1119</v>
      </c>
      <c r="C16" s="21">
        <v>46089</v>
      </c>
      <c r="D16">
        <v>3000</v>
      </c>
    </row>
    <row r="17" spans="2:4" ht="16" x14ac:dyDescent="0.45">
      <c r="B17" s="23" t="s">
        <v>1117</v>
      </c>
      <c r="C17" t="s">
        <v>1141</v>
      </c>
      <c r="D17">
        <v>2300</v>
      </c>
    </row>
    <row r="18" spans="2:4" ht="16" x14ac:dyDescent="0.45">
      <c r="B18" s="23" t="s">
        <v>1182</v>
      </c>
      <c r="C18" t="s">
        <v>1176</v>
      </c>
      <c r="D18">
        <v>1000</v>
      </c>
    </row>
    <row r="19" spans="2:4" ht="16" x14ac:dyDescent="0.45">
      <c r="B19" s="23" t="s">
        <v>1117</v>
      </c>
      <c r="C19" t="s">
        <v>1176</v>
      </c>
      <c r="D19">
        <v>960</v>
      </c>
    </row>
    <row r="20" spans="2:4" ht="16" x14ac:dyDescent="0.45">
      <c r="B20" s="23" t="s">
        <v>1183</v>
      </c>
      <c r="C20" t="s">
        <v>1178</v>
      </c>
      <c r="D20">
        <v>250</v>
      </c>
    </row>
  </sheetData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H7"/>
  <sheetViews>
    <sheetView workbookViewId="0">
      <selection activeCell="B5" sqref="B5"/>
    </sheetView>
  </sheetViews>
  <sheetFormatPr defaultRowHeight="14.5" x14ac:dyDescent="0.35"/>
  <cols>
    <col min="1" max="1" width="3" customWidth="1"/>
    <col min="2" max="2" width="37" customWidth="1"/>
    <col min="3" max="3" width="15" customWidth="1"/>
    <col min="4" max="4" width="17" customWidth="1"/>
    <col min="5" max="5" width="15" customWidth="1"/>
    <col min="6" max="6" width="16" customWidth="1"/>
    <col min="7" max="7" width="15" customWidth="1"/>
    <col min="8" max="8" width="28" customWidth="1"/>
  </cols>
  <sheetData>
    <row r="2" spans="2:8" ht="25" customHeight="1" x14ac:dyDescent="0.65">
      <c r="B2" s="1" t="s">
        <v>619</v>
      </c>
    </row>
    <row r="4" spans="2:8" ht="26" customHeight="1" x14ac:dyDescent="0.35">
      <c r="B4" s="11" t="s">
        <v>620</v>
      </c>
      <c r="C4" s="11" t="s">
        <v>621</v>
      </c>
      <c r="D4" s="11" t="s">
        <v>622</v>
      </c>
      <c r="E4" s="11" t="s">
        <v>623</v>
      </c>
      <c r="F4" s="11" t="s">
        <v>624</v>
      </c>
      <c r="G4" s="11" t="s">
        <v>625</v>
      </c>
      <c r="H4" s="11" t="s">
        <v>626</v>
      </c>
    </row>
    <row r="5" spans="2:8" ht="16" x14ac:dyDescent="0.45">
      <c r="B5" s="8"/>
      <c r="C5" s="8"/>
      <c r="D5" s="8"/>
      <c r="E5" s="8"/>
      <c r="F5" s="8"/>
      <c r="G5" s="8"/>
      <c r="H5" s="8"/>
    </row>
    <row r="6" spans="2:8" ht="16" x14ac:dyDescent="0.45">
      <c r="B6" s="5"/>
      <c r="C6" s="5"/>
      <c r="D6" s="5"/>
      <c r="E6" s="5"/>
      <c r="F6" s="5"/>
      <c r="G6" s="5"/>
      <c r="H6" s="5"/>
    </row>
    <row r="7" spans="2:8" ht="16" x14ac:dyDescent="0.45">
      <c r="B7" s="8"/>
      <c r="C7" s="8"/>
      <c r="D7" s="8"/>
      <c r="E7" s="8"/>
      <c r="F7" s="8"/>
      <c r="G7" s="8"/>
      <c r="H7" s="8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I7"/>
  <sheetViews>
    <sheetView topLeftCell="B3" workbookViewId="0"/>
  </sheetViews>
  <sheetFormatPr defaultRowHeight="14.5" x14ac:dyDescent="0.35"/>
  <cols>
    <col min="1" max="1" width="3" customWidth="1"/>
    <col min="2" max="2" width="40" customWidth="1"/>
    <col min="3" max="3" width="13" customWidth="1"/>
    <col min="4" max="4" width="23" customWidth="1"/>
    <col min="5" max="5" width="15" customWidth="1"/>
    <col min="6" max="6" width="21" customWidth="1"/>
    <col min="7" max="7" width="16" customWidth="1"/>
    <col min="8" max="8" width="20" customWidth="1"/>
    <col min="9" max="9" width="23" customWidth="1"/>
  </cols>
  <sheetData>
    <row r="2" spans="2:9" ht="25" customHeight="1" x14ac:dyDescent="0.65">
      <c r="B2" s="1" t="s">
        <v>632</v>
      </c>
    </row>
    <row r="4" spans="2:9" ht="26" customHeight="1" x14ac:dyDescent="0.35">
      <c r="B4" s="11" t="s">
        <v>633</v>
      </c>
      <c r="C4" s="11" t="s">
        <v>610</v>
      </c>
      <c r="D4" s="11" t="s">
        <v>634</v>
      </c>
      <c r="E4" s="11" t="s">
        <v>635</v>
      </c>
      <c r="F4" s="11" t="s">
        <v>636</v>
      </c>
      <c r="G4" s="11" t="s">
        <v>637</v>
      </c>
      <c r="H4" s="11" t="s">
        <v>638</v>
      </c>
      <c r="I4" s="11" t="s">
        <v>639</v>
      </c>
    </row>
    <row r="5" spans="2:9" ht="16" x14ac:dyDescent="0.45">
      <c r="B5" s="8"/>
      <c r="C5" s="8"/>
      <c r="D5" s="8"/>
      <c r="E5" s="8"/>
      <c r="F5" s="8"/>
      <c r="G5" s="8"/>
      <c r="H5" s="8"/>
      <c r="I5" s="8"/>
    </row>
    <row r="6" spans="2:9" ht="16" x14ac:dyDescent="0.45">
      <c r="B6" s="5"/>
      <c r="C6" s="5"/>
      <c r="D6" s="5"/>
      <c r="E6" s="5"/>
      <c r="F6" s="5"/>
      <c r="G6" s="5"/>
      <c r="H6" s="5"/>
      <c r="I6" s="5"/>
    </row>
    <row r="7" spans="2:9" ht="16" x14ac:dyDescent="0.45">
      <c r="B7" s="8"/>
      <c r="C7" s="8"/>
      <c r="D7" s="8"/>
      <c r="E7" s="8"/>
      <c r="F7" s="8"/>
      <c r="G7" s="8"/>
      <c r="H7" s="8"/>
      <c r="I7" s="8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H7"/>
  <sheetViews>
    <sheetView topLeftCell="B1" workbookViewId="0"/>
  </sheetViews>
  <sheetFormatPr defaultRowHeight="14.5" x14ac:dyDescent="0.35"/>
  <cols>
    <col min="1" max="1" width="3" customWidth="1"/>
    <col min="2" max="2" width="43" customWidth="1"/>
    <col min="3" max="4" width="13" customWidth="1"/>
    <col min="5" max="5" width="15" customWidth="1"/>
    <col min="6" max="6" width="14" customWidth="1"/>
    <col min="7" max="7" width="17" customWidth="1"/>
    <col min="8" max="8" width="59" customWidth="1"/>
  </cols>
  <sheetData>
    <row r="2" spans="2:8" ht="25" customHeight="1" x14ac:dyDescent="0.65">
      <c r="B2" s="1" t="s">
        <v>640</v>
      </c>
    </row>
    <row r="4" spans="2:8" ht="26" customHeight="1" x14ac:dyDescent="0.35">
      <c r="B4" s="11" t="s">
        <v>641</v>
      </c>
      <c r="C4" s="11" t="s">
        <v>36</v>
      </c>
      <c r="D4" s="11" t="s">
        <v>38</v>
      </c>
      <c r="E4" s="11" t="s">
        <v>44</v>
      </c>
      <c r="F4" s="11" t="s">
        <v>45</v>
      </c>
      <c r="G4" s="11" t="s">
        <v>642</v>
      </c>
      <c r="H4" s="11" t="s">
        <v>643</v>
      </c>
    </row>
    <row r="5" spans="2:8" ht="16" x14ac:dyDescent="0.45">
      <c r="B5" s="8"/>
      <c r="C5" s="8"/>
      <c r="D5" s="8"/>
      <c r="E5" s="8"/>
      <c r="F5" s="8"/>
      <c r="G5" s="8">
        <f ca="1">F5-TODAY()</f>
        <v>-46270</v>
      </c>
      <c r="H5" s="8" t="str">
        <f ca="1">IF(G5&lt;=0,"❌ EXPIRED",IF(G5&lt;=90,"⚠️ CRITICAL","✅ SAFE"))</f>
        <v>❌ EXPIRED</v>
      </c>
    </row>
    <row r="6" spans="2:8" ht="16" x14ac:dyDescent="0.45">
      <c r="B6" s="5"/>
      <c r="C6" s="5"/>
      <c r="D6" s="5"/>
      <c r="E6" s="5"/>
      <c r="F6" s="5"/>
      <c r="G6" s="5"/>
      <c r="H6" s="5"/>
    </row>
    <row r="7" spans="2:8" ht="16" x14ac:dyDescent="0.45">
      <c r="B7" s="8"/>
      <c r="C7" s="8"/>
      <c r="D7" s="8"/>
      <c r="E7" s="8"/>
      <c r="F7" s="8"/>
      <c r="G7" s="8"/>
      <c r="H7" s="8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I7"/>
  <sheetViews>
    <sheetView topLeftCell="E1" workbookViewId="0">
      <selection activeCell="E7" sqref="E7"/>
    </sheetView>
  </sheetViews>
  <sheetFormatPr defaultRowHeight="14.5" x14ac:dyDescent="0.35"/>
  <cols>
    <col min="1" max="1" width="3" customWidth="1"/>
    <col min="2" max="2" width="38" customWidth="1"/>
    <col min="3" max="5" width="13" customWidth="1"/>
    <col min="6" max="6" width="23" customWidth="1"/>
    <col min="7" max="7" width="15" customWidth="1"/>
    <col min="8" max="8" width="28" customWidth="1"/>
    <col min="9" max="9" width="15" customWidth="1"/>
  </cols>
  <sheetData>
    <row r="2" spans="2:9" ht="25" customHeight="1" x14ac:dyDescent="0.65">
      <c r="B2" s="1" t="s">
        <v>644</v>
      </c>
    </row>
    <row r="4" spans="2:9" ht="26" customHeight="1" x14ac:dyDescent="0.35">
      <c r="B4" s="11" t="s">
        <v>645</v>
      </c>
      <c r="C4" s="11" t="s">
        <v>36</v>
      </c>
      <c r="D4" s="11" t="s">
        <v>38</v>
      </c>
      <c r="E4" s="11" t="s">
        <v>646</v>
      </c>
      <c r="F4" s="11" t="s">
        <v>647</v>
      </c>
      <c r="G4" s="11" t="s">
        <v>648</v>
      </c>
      <c r="H4" s="11" t="s">
        <v>649</v>
      </c>
      <c r="I4" s="11" t="s">
        <v>650</v>
      </c>
    </row>
    <row r="5" spans="2:9" ht="16" x14ac:dyDescent="0.45">
      <c r="B5" s="8"/>
      <c r="C5" s="8"/>
      <c r="D5" s="8"/>
      <c r="E5" s="8"/>
      <c r="F5" s="8"/>
      <c r="G5" s="8">
        <f>F5-E5</f>
        <v>0</v>
      </c>
      <c r="H5" s="8">
        <f>G5*'Master Inventory'!F5</f>
        <v>0</v>
      </c>
      <c r="I5" s="8"/>
    </row>
    <row r="6" spans="2:9" ht="16" x14ac:dyDescent="0.45">
      <c r="B6" s="5"/>
      <c r="C6" s="5"/>
      <c r="D6" s="5"/>
      <c r="E6" s="5"/>
      <c r="F6" s="5"/>
      <c r="G6" s="5"/>
      <c r="H6" s="5"/>
      <c r="I6" s="5"/>
    </row>
    <row r="7" spans="2:9" ht="16" x14ac:dyDescent="0.45">
      <c r="B7" s="8"/>
      <c r="C7" s="8"/>
      <c r="D7" s="8"/>
      <c r="E7" s="8"/>
      <c r="F7" s="8"/>
      <c r="G7" s="8"/>
      <c r="H7" s="8"/>
      <c r="I7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Master Inventory</vt:lpstr>
      <vt:lpstr>Sales</vt:lpstr>
      <vt:lpstr>Transactions</vt:lpstr>
      <vt:lpstr>Purchase Orders</vt:lpstr>
      <vt:lpstr>Suppliers</vt:lpstr>
      <vt:lpstr>DDA Register</vt:lpstr>
      <vt:lpstr>Expiry Register</vt:lpstr>
      <vt:lpstr>Stock Take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Barno</cp:lastModifiedBy>
  <dcterms:created xsi:type="dcterms:W3CDTF">2026-06-26T21:01:08Z</dcterms:created>
  <dcterms:modified xsi:type="dcterms:W3CDTF">2026-09-05T18:37:15Z</dcterms:modified>
</cp:coreProperties>
</file>